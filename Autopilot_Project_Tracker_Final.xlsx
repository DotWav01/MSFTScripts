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 Tracking" sheetId="2" state="visible" r:id="rId2"/>
    <sheet xmlns:r="http://schemas.openxmlformats.org/officeDocument/2006/relationships" name="Issue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6600"/>
    </font>
    <font>
      <b val="1"/>
      <color rgb="00FF0000"/>
    </font>
    <font>
      <b val="1"/>
    </font>
    <font>
      <b val="1"/>
      <color rgb="004F81BD"/>
      <sz val="18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7CE"/>
        <bgColor rgb="00FFC7CE"/>
      </patternFill>
    </fill>
    <fill>
      <patternFill patternType="solid">
        <fgColor rgb="008B0000"/>
        <bgColor rgb="008B00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EB9C"/>
        <bgColor rgb="00FFEB9C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pivotButton="0" quotePrefix="0" xfId="0"/>
    <xf numFmtId="0" fontId="4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" customWidth="1" min="3" max="3"/>
    <col width="25" customWidth="1" min="4" max="4"/>
    <col width="15" customWidth="1" min="5" max="5"/>
    <col width="5" customWidth="1" min="6" max="6"/>
  </cols>
  <sheetData>
    <row r="1">
      <c r="A1" s="1" t="inlineStr">
        <is>
          <t>Microsoft Autopilot Project Dashboard - Updated</t>
        </is>
      </c>
    </row>
    <row r="3">
      <c r="A3" s="2" t="inlineStr">
        <is>
          <t>Project Overview</t>
        </is>
      </c>
      <c r="D3" s="2" t="inlineStr">
        <is>
          <t>Critical Applications</t>
        </is>
      </c>
    </row>
    <row r="4">
      <c r="A4" s="3" t="inlineStr">
        <is>
          <t>Total Tasks:</t>
        </is>
      </c>
      <c r="B4">
        <f>COUNTA('Task Tracking'!A2:A1000)-COUNTBLANK('Task Tracking'!A2:A1000)</f>
        <v/>
      </c>
      <c r="D4" s="3" t="inlineStr">
        <is>
          <t>Security Apps (CrowdStrike, Absolute):</t>
        </is>
      </c>
      <c r="E4">
        <f>COUNTIFS('Task Tracking'!B:B,"Phase 2",'Task Tracking'!C:C,"*CrowdStrike*",'Task Tracking'!F:F,"Completed")+COUNTIFS('Task Tracking'!B:B,"Phase 2",'Task Tracking'!C:C,"*Absolute*",'Task Tracking'!F:F,"Completed")</f>
        <v/>
      </c>
    </row>
    <row r="5">
      <c r="A5" s="3" t="inlineStr">
        <is>
          <t>Completed Tasks:</t>
        </is>
      </c>
      <c r="B5">
        <f>COUNTIF('Task Tracking'!F:F,"Completed")</f>
        <v/>
      </c>
      <c r="D5" s="3" t="inlineStr">
        <is>
          <t>VPN &amp; Authentication Apps:</t>
        </is>
      </c>
      <c r="E5">
        <f>COUNTIFS('Task Tracking'!B:B,"Phase 2",'Task Tracking'!C:C,"*VPN*",'Task Tracking'!F:F,"Completed")+COUNTIFS('Task Tracking'!B:B,"Phase 2",'Task Tracking'!C:C,"*Duo*",'Task Tracking'!F:F,"Completed")</f>
        <v/>
      </c>
    </row>
    <row r="6">
      <c r="A6" s="3" t="inlineStr">
        <is>
          <t>In Progress Tasks:</t>
        </is>
      </c>
      <c r="B6">
        <f>COUNTIF('Task Tracking'!F:F,"In Progress")</f>
        <v/>
      </c>
      <c r="D6" s="3" t="inlineStr">
        <is>
          <t>Security Policies Applied:</t>
        </is>
      </c>
      <c r="E6">
        <f>COUNTIFS('Task Tracking'!B:B,"Phase 2",'Task Tracking'!C:C,"*CIS*",'Task Tracking'!F:F,"Completed")+COUNTIFS('Task Tracking'!B:B,"Phase 2",'Task Tracking'!C:C,"*Defender*",'Task Tracking'!F:F,"Completed")</f>
        <v/>
      </c>
    </row>
    <row r="7">
      <c r="A7" s="3" t="inlineStr">
        <is>
          <t>Not Started Tasks:</t>
        </is>
      </c>
      <c r="B7">
        <f>COUNTIF('Task Tracking'!F:F,"Not Started")</f>
        <v/>
      </c>
      <c r="D7" s="3" t="n"/>
    </row>
    <row r="8">
      <c r="A8" s="3" t="inlineStr">
        <is>
          <t>Project Progress:</t>
        </is>
      </c>
      <c r="B8" s="4">
        <f>IF((B5+B6+B7)&gt;0,B5/(B5+B6+B7),0)</f>
        <v/>
      </c>
      <c r="D8" s="3" t="inlineStr">
        <is>
          <t>Phase Progress</t>
        </is>
      </c>
    </row>
    <row r="9">
      <c r="A9" s="3" t="n"/>
      <c r="D9" s="3" t="inlineStr">
        <is>
          <t>Phase 1 (Infrastructure):</t>
        </is>
      </c>
      <c r="E9" s="4">
        <f>IF(COUNTIF('Task Tracking'!B:B,"Phase 1")&gt;0,COUNTIFS('Task Tracking'!B:B,"Phase 1",'Task Tracking'!F:F,"Completed")/COUNTIF('Task Tracking'!B:B,"Phase 1"),0)</f>
        <v/>
      </c>
    </row>
    <row r="10">
      <c r="A10" s="3" t="inlineStr">
        <is>
          <t>Issue Summary</t>
        </is>
      </c>
      <c r="D10" s="3" t="inlineStr">
        <is>
          <t>Phase 2 (Apps &amp; Policies):</t>
        </is>
      </c>
      <c r="E10" s="4">
        <f>IF(COUNTIF('Task Tracking'!B:B,"Phase 2")&gt;0,COUNTIFS('Task Tracking'!B:B,"Phase 2",'Task Tracking'!F:F,"Completed")/COUNTIF('Task Tracking'!B:B,"Phase 2"),0)</f>
        <v/>
      </c>
    </row>
    <row r="11">
      <c r="A11" s="3" t="inlineStr">
        <is>
          <t>Open Issues:</t>
        </is>
      </c>
      <c r="B11">
        <f>COUNTIF('Issue Tracking'!I:I,"Open")</f>
        <v/>
      </c>
      <c r="D11" s="3" t="inlineStr">
        <is>
          <t>Phase 3 (Device Naming):</t>
        </is>
      </c>
      <c r="E11" s="4">
        <f>IF(COUNTIF('Task Tracking'!B:B,"Phase 3")&gt;0,COUNTIFS('Task Tracking'!B:B,"Phase 3",'Task Tracking'!F:F,"Completed")/COUNTIF('Task Tracking'!B:B,"Phase 3"),0)</f>
        <v/>
      </c>
    </row>
    <row r="12">
      <c r="A12" s="3" t="inlineStr">
        <is>
          <t>In Progress Issues:</t>
        </is>
      </c>
      <c r="B12">
        <f>COUNTIF('Issue Tracking'!I:I,"In Progress")</f>
        <v/>
      </c>
      <c r="D12" s="3" t="inlineStr">
        <is>
          <t>Phase 4 (Co-management):</t>
        </is>
      </c>
      <c r="E12" s="4">
        <f>IF(COUNTIF('Task Tracking'!B:B,"Phase 4")&gt;0,COUNTIFS('Task Tracking'!B:B,"Phase 4",'Task Tracking'!F:F,"Completed")/COUNTIF('Task Tracking'!B:B,"Phase 4"),0)</f>
        <v/>
      </c>
    </row>
    <row r="13">
      <c r="A13" s="3" t="inlineStr">
        <is>
          <t>Critical Issues:</t>
        </is>
      </c>
      <c r="B13">
        <f>COUNTIFS('Issue Tracking'!G:G,"Critical",'Issue Tracking'!I:I,"&lt;&gt;Resolved")</f>
        <v/>
      </c>
      <c r="D13" s="3" t="n"/>
    </row>
    <row r="14">
      <c r="A14" s="3" t="inlineStr">
        <is>
          <t>High Priority Issues:</t>
        </is>
      </c>
      <c r="B14">
        <f>COUNTIFS('Issue Tracking'!G:G,"High",'Issue Tracking'!I:I,"&lt;&gt;Resolved")</f>
        <v/>
      </c>
      <c r="D14" s="3" t="inlineStr">
        <is>
          <t>Feasibility Testing &amp; Deployment Modes</t>
        </is>
      </c>
    </row>
    <row r="15">
      <c r="A15" s="3" t="n"/>
      <c r="D15" s="3" t="inlineStr">
        <is>
          <t>User-Driven Feasibility:</t>
        </is>
      </c>
      <c r="E15">
        <f>COUNTIFS('Task Tracking'!C:C,"*Feasibility*",'Task Tracking'!F:F,"Completed")</f>
        <v/>
      </c>
    </row>
    <row r="16">
      <c r="A16" s="3" t="inlineStr">
        <is>
          <t>Resource Utilization</t>
        </is>
      </c>
      <c r="D16" s="3" t="inlineStr">
        <is>
          <t>Deployment Mode Framework:</t>
        </is>
      </c>
      <c r="E16">
        <f>COUNTIFS('Task Tracking'!C:C,"*Decision Matrix*",'Task Tracking'!F:F,"Completed")</f>
        <v/>
      </c>
    </row>
    <row r="17">
      <c r="A17" s="3" t="inlineStr">
        <is>
          <t>Total Estimated Hours:</t>
        </is>
      </c>
      <c r="B17">
        <f>SUM('Task Tracking'!L:L)</f>
        <v/>
      </c>
      <c r="D17" s="3" t="inlineStr">
        <is>
          <t>Pre-Provisioning Testing:</t>
        </is>
      </c>
      <c r="E17">
        <f>COUNTIFS('Task Tracking'!C:C,"*Pre-Provisioning*",'Task Tracking'!F:F,"Completed")</f>
        <v/>
      </c>
    </row>
    <row r="18">
      <c r="A18" s="3" t="inlineStr">
        <is>
          <t>Total Actual Hours:</t>
        </is>
      </c>
      <c r="B18">
        <f>SUM('Task Tracking'!M:M)</f>
        <v/>
      </c>
      <c r="D18" s="3" t="n"/>
    </row>
    <row r="19">
      <c r="A19" s="3" t="inlineStr">
        <is>
          <t>Hours Variance:</t>
        </is>
      </c>
      <c r="B19">
        <f>B18-B17</f>
        <v/>
      </c>
      <c r="D19" s="3" t="inlineStr">
        <is>
          <t>Critical Success Metrics</t>
        </is>
      </c>
    </row>
    <row r="20">
      <c r="A20" s="3" t="n"/>
      <c r="D20" s="3" t="inlineStr">
        <is>
          <t>Critical Tasks Completed:</t>
        </is>
      </c>
      <c r="E20">
        <f>COUNTIFS('Task Tracking'!G:G,"Critical",'Task Tracking'!F:F,"Completed")</f>
        <v/>
      </c>
    </row>
    <row r="21">
      <c r="A21" s="3" t="n"/>
      <c r="D21" s="3" t="inlineStr">
        <is>
          <t>Security Issues Open:</t>
        </is>
      </c>
      <c r="E21">
        <f>COUNTIFS('Issue Tracking'!F:F,"Security*",'Issue Tracking'!I:I,"Open")</f>
        <v/>
      </c>
    </row>
    <row r="22">
      <c r="A22" s="3" t="n"/>
      <c r="D22" s="3" t="inlineStr">
        <is>
          <t>Feasibility Issues Open:</t>
        </is>
      </c>
      <c r="E22">
        <f>COUNTIFS('Issue Tracking'!F:F,"*Feasibility*",'Issue Tracking'!I:I,"Open")</f>
        <v/>
      </c>
    </row>
    <row r="23">
      <c r="A23" s="3" t="n"/>
      <c r="D23" s="3" t="n"/>
    </row>
    <row r="24">
      <c r="A24" s="3" t="n"/>
      <c r="D24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41" customWidth="1" min="3" max="3"/>
    <col width="50" customWidth="1" min="4" max="4"/>
    <col width="21" customWidth="1" min="5" max="5"/>
    <col width="13" customWidth="1" min="6" max="6"/>
    <col width="10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4" customWidth="1" min="13" max="13"/>
    <col width="16" customWidth="1" min="14" max="14"/>
    <col width="39" customWidth="1" min="15" max="15"/>
  </cols>
  <sheetData>
    <row r="1">
      <c r="A1" s="5" t="inlineStr">
        <is>
          <t>Task ID</t>
        </is>
      </c>
      <c r="B1" s="5" t="inlineStr">
        <is>
          <t>Phase</t>
        </is>
      </c>
      <c r="C1" s="5" t="inlineStr">
        <is>
          <t>Task Name</t>
        </is>
      </c>
      <c r="D1" s="5" t="inlineStr">
        <is>
          <t>Description</t>
        </is>
      </c>
      <c r="E1" s="5" t="inlineStr">
        <is>
          <t>Owner</t>
        </is>
      </c>
      <c r="F1" s="5" t="inlineStr">
        <is>
          <t>Status</t>
        </is>
      </c>
      <c r="G1" s="5" t="inlineStr">
        <is>
          <t>Priority</t>
        </is>
      </c>
      <c r="H1" s="5" t="inlineStr">
        <is>
          <t>Start Date</t>
        </is>
      </c>
      <c r="I1" s="5" t="inlineStr">
        <is>
          <t>Due Date</t>
        </is>
      </c>
      <c r="J1" s="5" t="inlineStr">
        <is>
          <t>Completion Date</t>
        </is>
      </c>
      <c r="K1" s="5" t="inlineStr">
        <is>
          <t>% Complete</t>
        </is>
      </c>
      <c r="L1" s="5" t="inlineStr">
        <is>
          <t>Estimated Hours</t>
        </is>
      </c>
      <c r="M1" s="5" t="inlineStr">
        <is>
          <t>Actual Hours</t>
        </is>
      </c>
      <c r="N1" s="5" t="inlineStr">
        <is>
          <t>Dependencies</t>
        </is>
      </c>
      <c r="O1" s="5" t="inlineStr">
        <is>
          <t>Notes</t>
        </is>
      </c>
    </row>
    <row r="2">
      <c r="A2" s="6" t="inlineStr">
        <is>
          <t>T001</t>
        </is>
      </c>
      <c r="B2" s="6" t="inlineStr">
        <is>
          <t>Phase 1</t>
        </is>
      </c>
      <c r="C2" s="6" t="inlineStr">
        <is>
          <t>Verify Azure AD Premium Licensing</t>
        </is>
      </c>
      <c r="D2" s="6" t="inlineStr">
        <is>
          <t>Confirm sufficient P1/P2 licenses for Autopilot</t>
        </is>
      </c>
      <c r="E2" s="6" t="inlineStr">
        <is>
          <t>Infrastructure Team</t>
        </is>
      </c>
      <c r="F2" s="7" t="inlineStr">
        <is>
          <t>Not Started</t>
        </is>
      </c>
      <c r="G2" s="8" t="inlineStr">
        <is>
          <t>High</t>
        </is>
      </c>
      <c r="H2" s="6" t="inlineStr">
        <is>
          <t>2024-02-07</t>
        </is>
      </c>
      <c r="I2" s="6" t="inlineStr">
        <is>
          <t>2024-02-09</t>
        </is>
      </c>
      <c r="J2" s="6" t="inlineStr"/>
      <c r="K2" s="6" t="n">
        <v>0</v>
      </c>
      <c r="L2" s="6" t="n">
        <v>4</v>
      </c>
      <c r="M2" s="6" t="n">
        <v>0</v>
      </c>
      <c r="N2" s="6" t="inlineStr"/>
      <c r="O2" s="6" t="inlineStr">
        <is>
          <t>Check current license count</t>
        </is>
      </c>
    </row>
    <row r="3">
      <c r="A3" s="6" t="inlineStr">
        <is>
          <t>T002</t>
        </is>
      </c>
      <c r="B3" s="6" t="inlineStr">
        <is>
          <t>Phase 1</t>
        </is>
      </c>
      <c r="C3" s="6" t="inlineStr">
        <is>
          <t>Validate Intune Licensing</t>
        </is>
      </c>
      <c r="D3" s="6" t="inlineStr">
        <is>
          <t>Ensure device licenses available</t>
        </is>
      </c>
      <c r="E3" s="6" t="inlineStr">
        <is>
          <t>Infrastructure Team</t>
        </is>
      </c>
      <c r="F3" s="7" t="inlineStr">
        <is>
          <t>Not Started</t>
        </is>
      </c>
      <c r="G3" s="8" t="inlineStr">
        <is>
          <t>High</t>
        </is>
      </c>
      <c r="H3" s="6" t="inlineStr">
        <is>
          <t>2024-02-07</t>
        </is>
      </c>
      <c r="I3" s="6" t="inlineStr">
        <is>
          <t>2024-02-09</t>
        </is>
      </c>
      <c r="J3" s="6" t="inlineStr"/>
      <c r="K3" s="6" t="n">
        <v>0</v>
      </c>
      <c r="L3" s="6" t="n">
        <v>2</v>
      </c>
      <c r="M3" s="6" t="n">
        <v>0</v>
      </c>
      <c r="N3" s="6" t="inlineStr">
        <is>
          <t>T001</t>
        </is>
      </c>
      <c r="O3" s="6" t="inlineStr"/>
    </row>
    <row r="4">
      <c r="A4" s="6" t="inlineStr">
        <is>
          <t>T003</t>
        </is>
      </c>
      <c r="B4" s="6" t="inlineStr">
        <is>
          <t>Phase 1</t>
        </is>
      </c>
      <c r="C4" s="6" t="inlineStr">
        <is>
          <t>Install Intune Connector</t>
        </is>
      </c>
      <c r="D4" s="6" t="inlineStr">
        <is>
          <t>Install connector on pre-prod server</t>
        </is>
      </c>
      <c r="E4" s="6" t="inlineStr">
        <is>
          <t>Infrastructure Team</t>
        </is>
      </c>
      <c r="F4" s="7" t="inlineStr">
        <is>
          <t>Not Started</t>
        </is>
      </c>
      <c r="G4" s="9" t="inlineStr">
        <is>
          <t>Critical</t>
        </is>
      </c>
      <c r="H4" s="6" t="inlineStr">
        <is>
          <t>2024-02-10</t>
        </is>
      </c>
      <c r="I4" s="6" t="inlineStr">
        <is>
          <t>2024-02-14</t>
        </is>
      </c>
      <c r="J4" s="6" t="inlineStr"/>
      <c r="K4" s="6" t="n">
        <v>0</v>
      </c>
      <c r="L4" s="6" t="n">
        <v>8</v>
      </c>
      <c r="M4" s="6" t="n">
        <v>0</v>
      </c>
      <c r="N4" s="6" t="inlineStr">
        <is>
          <t>T001,T002</t>
        </is>
      </c>
      <c r="O4" s="6" t="inlineStr">
        <is>
          <t>Requires domain admin access</t>
        </is>
      </c>
    </row>
    <row r="5">
      <c r="A5" s="6" t="inlineStr">
        <is>
          <t>T004</t>
        </is>
      </c>
      <c r="B5" s="6" t="inlineStr">
        <is>
          <t>Phase 1</t>
        </is>
      </c>
      <c r="C5" s="6" t="inlineStr">
        <is>
          <t>Configure Service Account</t>
        </is>
      </c>
      <c r="D5" s="6" t="inlineStr">
        <is>
          <t>Create dedicated service account with domain join permissions</t>
        </is>
      </c>
      <c r="E5" s="6" t="inlineStr">
        <is>
          <t>Security Team</t>
        </is>
      </c>
      <c r="F5" s="7" t="inlineStr">
        <is>
          <t>Not Started</t>
        </is>
      </c>
      <c r="G5" s="9" t="inlineStr">
        <is>
          <t>Critical</t>
        </is>
      </c>
      <c r="H5" s="6" t="inlineStr">
        <is>
          <t>2024-02-10</t>
        </is>
      </c>
      <c r="I5" s="6" t="inlineStr">
        <is>
          <t>2024-02-12</t>
        </is>
      </c>
      <c r="J5" s="6" t="inlineStr"/>
      <c r="K5" s="6" t="n">
        <v>0</v>
      </c>
      <c r="L5" s="6" t="n">
        <v>4</v>
      </c>
      <c r="M5" s="6" t="n">
        <v>0</v>
      </c>
      <c r="N5" s="6" t="inlineStr"/>
      <c r="O5" s="6" t="inlineStr"/>
    </row>
    <row r="6">
      <c r="A6" s="6" t="inlineStr">
        <is>
          <t>T005</t>
        </is>
      </c>
      <c r="B6" s="6" t="inlineStr">
        <is>
          <t>Phase 1</t>
        </is>
      </c>
      <c r="C6" s="6" t="inlineStr">
        <is>
          <t>Test Connector Communication</t>
        </is>
      </c>
      <c r="D6" s="6" t="inlineStr">
        <is>
          <t>Verify connector can communicate with Intune</t>
        </is>
      </c>
      <c r="E6" s="6" t="inlineStr">
        <is>
          <t>Infrastructure Team</t>
        </is>
      </c>
      <c r="F6" s="7" t="inlineStr">
        <is>
          <t>Not Started</t>
        </is>
      </c>
      <c r="G6" s="8" t="inlineStr">
        <is>
          <t>High</t>
        </is>
      </c>
      <c r="H6" s="6" t="inlineStr">
        <is>
          <t>2024-02-13</t>
        </is>
      </c>
      <c r="I6" s="6" t="inlineStr">
        <is>
          <t>2024-02-14</t>
        </is>
      </c>
      <c r="J6" s="6" t="inlineStr"/>
      <c r="K6" s="6" t="n">
        <v>0</v>
      </c>
      <c r="L6" s="6" t="n">
        <v>3</v>
      </c>
      <c r="M6" s="6" t="n">
        <v>0</v>
      </c>
      <c r="N6" s="6" t="inlineStr">
        <is>
          <t>T003,T004</t>
        </is>
      </c>
      <c r="O6" s="6" t="inlineStr"/>
    </row>
    <row r="7">
      <c r="A7" s="6" t="inlineStr">
        <is>
          <t>T006</t>
        </is>
      </c>
      <c r="B7" s="6" t="inlineStr">
        <is>
          <t>Phase 1</t>
        </is>
      </c>
      <c r="C7" s="6" t="inlineStr">
        <is>
          <t>Autopilot Mode Feasibility Assessment</t>
        </is>
      </c>
      <c r="D7" s="6" t="inlineStr">
        <is>
          <t>Test User-Driven vs Pre-Provisioning deployment modes</t>
        </is>
      </c>
      <c r="E7" s="6" t="inlineStr">
        <is>
          <t>QA Team</t>
        </is>
      </c>
      <c r="F7" s="7" t="inlineStr">
        <is>
          <t>Not Started</t>
        </is>
      </c>
      <c r="G7" s="9" t="inlineStr">
        <is>
          <t>Critical</t>
        </is>
      </c>
      <c r="H7" s="6" t="inlineStr">
        <is>
          <t>2024-02-12</t>
        </is>
      </c>
      <c r="I7" s="6" t="inlineStr">
        <is>
          <t>2024-02-18</t>
        </is>
      </c>
      <c r="J7" s="6" t="inlineStr"/>
      <c r="K7" s="6" t="n">
        <v>0</v>
      </c>
      <c r="L7" s="6" t="n">
        <v>20</v>
      </c>
      <c r="M7" s="6" t="n">
        <v>0</v>
      </c>
      <c r="N7" s="6" t="inlineStr">
        <is>
          <t>T005</t>
        </is>
      </c>
      <c r="O7" s="6" t="inlineStr">
        <is>
          <t>Test 15-20 devices each mode</t>
        </is>
      </c>
    </row>
    <row r="8">
      <c r="A8" s="6" t="inlineStr">
        <is>
          <t>T007</t>
        </is>
      </c>
      <c r="B8" s="6" t="inlineStr">
        <is>
          <t>Phase 1</t>
        </is>
      </c>
      <c r="C8" s="6" t="inlineStr">
        <is>
          <t>Network Connectivity Testing</t>
        </is>
      </c>
      <c r="D8" s="6" t="inlineStr">
        <is>
          <t>Test VPN and hybrid join across user locations</t>
        </is>
      </c>
      <c r="E8" s="6" t="inlineStr">
        <is>
          <t>Network Team</t>
        </is>
      </c>
      <c r="F8" s="7" t="inlineStr">
        <is>
          <t>Not Started</t>
        </is>
      </c>
      <c r="G8" s="8" t="inlineStr">
        <is>
          <t>High</t>
        </is>
      </c>
      <c r="H8" s="6" t="inlineStr">
        <is>
          <t>2024-02-15</t>
        </is>
      </c>
      <c r="I8" s="6" t="inlineStr">
        <is>
          <t>2024-02-19</t>
        </is>
      </c>
      <c r="J8" s="6" t="inlineStr"/>
      <c r="K8" s="6" t="n">
        <v>0</v>
      </c>
      <c r="L8" s="6" t="n">
        <v>12</v>
      </c>
      <c r="M8" s="6" t="n">
        <v>0</v>
      </c>
      <c r="N8" s="6" t="inlineStr">
        <is>
          <t>T006</t>
        </is>
      </c>
      <c r="O8" s="6" t="inlineStr">
        <is>
          <t>Test multiple scenarios</t>
        </is>
      </c>
    </row>
    <row r="9">
      <c r="A9" s="6" t="inlineStr">
        <is>
          <t>T008</t>
        </is>
      </c>
      <c r="B9" s="6" t="inlineStr">
        <is>
          <t>Phase 1</t>
        </is>
      </c>
      <c r="C9" s="6" t="inlineStr">
        <is>
          <t>User Experience Validation</t>
        </is>
      </c>
      <c r="D9" s="6" t="inlineStr">
        <is>
          <t>Conduct UAT with representative user groups</t>
        </is>
      </c>
      <c r="E9" s="6" t="inlineStr">
        <is>
          <t>QA Team</t>
        </is>
      </c>
      <c r="F9" s="7" t="inlineStr">
        <is>
          <t>Not Started</t>
        </is>
      </c>
      <c r="G9" s="8" t="inlineStr">
        <is>
          <t>High</t>
        </is>
      </c>
      <c r="H9" s="6" t="inlineStr">
        <is>
          <t>2024-02-16</t>
        </is>
      </c>
      <c r="I9" s="6" t="inlineStr">
        <is>
          <t>2024-02-20</t>
        </is>
      </c>
      <c r="J9" s="6" t="inlineStr"/>
      <c r="K9" s="6" t="n">
        <v>0</v>
      </c>
      <c r="L9" s="6" t="n">
        <v>16</v>
      </c>
      <c r="M9" s="6" t="n">
        <v>0</v>
      </c>
      <c r="N9" s="6" t="inlineStr">
        <is>
          <t>T006</t>
        </is>
      </c>
      <c r="O9" s="6" t="inlineStr">
        <is>
          <t>Different skill levels</t>
        </is>
      </c>
    </row>
    <row r="10">
      <c r="A10" s="6" t="inlineStr">
        <is>
          <t>T009</t>
        </is>
      </c>
      <c r="B10" s="6" t="inlineStr">
        <is>
          <t>Phase 1</t>
        </is>
      </c>
      <c r="C10" s="6" t="inlineStr">
        <is>
          <t>Deployment Mode Decision Matrix</t>
        </is>
      </c>
      <c r="D10" s="6" t="inlineStr">
        <is>
          <t>Create framework for mode selection</t>
        </is>
      </c>
      <c r="E10" s="6" t="inlineStr">
        <is>
          <t>Project Manager</t>
        </is>
      </c>
      <c r="F10" s="7" t="inlineStr">
        <is>
          <t>Not Started</t>
        </is>
      </c>
      <c r="G10" s="9" t="inlineStr">
        <is>
          <t>Critical</t>
        </is>
      </c>
      <c r="H10" s="6" t="inlineStr">
        <is>
          <t>2024-02-19</t>
        </is>
      </c>
      <c r="I10" s="6" t="inlineStr">
        <is>
          <t>2024-02-21</t>
        </is>
      </c>
      <c r="J10" s="6" t="inlineStr"/>
      <c r="K10" s="6" t="n">
        <v>0</v>
      </c>
      <c r="L10" s="6" t="n">
        <v>8</v>
      </c>
      <c r="M10" s="6" t="n">
        <v>0</v>
      </c>
      <c r="N10" s="6" t="inlineStr">
        <is>
          <t>T006,T007,T008</t>
        </is>
      </c>
      <c r="O10" s="6" t="inlineStr">
        <is>
          <t>Document decision criteria</t>
        </is>
      </c>
    </row>
    <row r="11">
      <c r="A11" s="6" t="inlineStr">
        <is>
          <t>T010</t>
        </is>
      </c>
      <c r="B11" s="6" t="inlineStr">
        <is>
          <t>Phase 2</t>
        </is>
      </c>
      <c r="C11" s="6" t="inlineStr">
        <is>
          <t>Package CrowdStrike Windows Sensor</t>
        </is>
      </c>
      <c r="D11" s="6" t="inlineStr">
        <is>
          <t>Create Win32 app with organization CID</t>
        </is>
      </c>
      <c r="E11" s="6" t="inlineStr">
        <is>
          <t>Security Team</t>
        </is>
      </c>
      <c r="F11" s="7" t="inlineStr">
        <is>
          <t>Not Started</t>
        </is>
      </c>
      <c r="G11" s="9" t="inlineStr">
        <is>
          <t>Critical</t>
        </is>
      </c>
      <c r="H11" s="6" t="inlineStr">
        <is>
          <t>2024-02-22</t>
        </is>
      </c>
      <c r="I11" s="6" t="inlineStr">
        <is>
          <t>2024-02-26</t>
        </is>
      </c>
      <c r="J11" s="6" t="inlineStr"/>
      <c r="K11" s="6" t="n">
        <v>0</v>
      </c>
      <c r="L11" s="6" t="n">
        <v>12</v>
      </c>
      <c r="M11" s="6" t="n">
        <v>0</v>
      </c>
      <c r="N11" s="6" t="inlineStr">
        <is>
          <t>T009</t>
        </is>
      </c>
      <c r="O11" s="6" t="inlineStr">
        <is>
          <t>Must install before domain join</t>
        </is>
      </c>
    </row>
    <row r="12">
      <c r="A12" s="6" t="inlineStr">
        <is>
          <t>T011</t>
        </is>
      </c>
      <c r="B12" s="6" t="inlineStr">
        <is>
          <t>Phase 2</t>
        </is>
      </c>
      <c r="C12" s="6" t="inlineStr">
        <is>
          <t>Package Cisco Secure VPN Client</t>
        </is>
      </c>
      <c r="D12" s="6" t="inlineStr">
        <is>
          <t>Create Win32 app for VPN deployment</t>
        </is>
      </c>
      <c r="E12" s="6" t="inlineStr">
        <is>
          <t>Network Team</t>
        </is>
      </c>
      <c r="F12" s="7" t="inlineStr">
        <is>
          <t>Not Started</t>
        </is>
      </c>
      <c r="G12" s="9" t="inlineStr">
        <is>
          <t>Critical</t>
        </is>
      </c>
      <c r="H12" s="6" t="inlineStr">
        <is>
          <t>2024-02-22</t>
        </is>
      </c>
      <c r="I12" s="6" t="inlineStr">
        <is>
          <t>2024-02-26</t>
        </is>
      </c>
      <c r="J12" s="6" t="inlineStr"/>
      <c r="K12" s="6" t="n">
        <v>0</v>
      </c>
      <c r="L12" s="6" t="n">
        <v>10</v>
      </c>
      <c r="M12" s="6" t="n">
        <v>0</v>
      </c>
      <c r="N12" s="6" t="inlineStr">
        <is>
          <t>T009</t>
        </is>
      </c>
      <c r="O12" s="6" t="inlineStr">
        <is>
          <t>Pre-logon capability required</t>
        </is>
      </c>
    </row>
    <row r="13">
      <c r="A13" s="6" t="inlineStr">
        <is>
          <t>T012</t>
        </is>
      </c>
      <c r="B13" s="6" t="inlineStr">
        <is>
          <t>Phase 2</t>
        </is>
      </c>
      <c r="C13" s="6" t="inlineStr">
        <is>
          <t>Configure VPN Certificates</t>
        </is>
      </c>
      <c r="D13" s="6" t="inlineStr">
        <is>
          <t>Deploy machine certificates for VPN auth</t>
        </is>
      </c>
      <c r="E13" s="6" t="inlineStr">
        <is>
          <t>Security Team</t>
        </is>
      </c>
      <c r="F13" s="7" t="inlineStr">
        <is>
          <t>Not Started</t>
        </is>
      </c>
      <c r="G13" s="9" t="inlineStr">
        <is>
          <t>Critical</t>
        </is>
      </c>
      <c r="H13" s="6" t="inlineStr">
        <is>
          <t>2024-02-24</t>
        </is>
      </c>
      <c r="I13" s="6" t="inlineStr">
        <is>
          <t>2024-02-28</t>
        </is>
      </c>
      <c r="J13" s="6" t="inlineStr"/>
      <c r="K13" s="6" t="n">
        <v>0</v>
      </c>
      <c r="L13" s="6" t="n">
        <v>8</v>
      </c>
      <c r="M13" s="6" t="n">
        <v>0</v>
      </c>
      <c r="N13" s="6" t="inlineStr">
        <is>
          <t>T011</t>
        </is>
      </c>
      <c r="O13" s="6" t="inlineStr"/>
    </row>
    <row r="14">
      <c r="A14" s="6" t="inlineStr">
        <is>
          <t>T013</t>
        </is>
      </c>
      <c r="B14" s="6" t="inlineStr">
        <is>
          <t>Phase 2</t>
        </is>
      </c>
      <c r="C14" s="6" t="inlineStr">
        <is>
          <t>Package Absolute Agent</t>
        </is>
      </c>
      <c r="D14" s="6" t="inlineStr">
        <is>
          <t>Create Win32 app with server settings</t>
        </is>
      </c>
      <c r="E14" s="6" t="inlineStr">
        <is>
          <t>Security Team</t>
        </is>
      </c>
      <c r="F14" s="7" t="inlineStr">
        <is>
          <t>Not Started</t>
        </is>
      </c>
      <c r="G14" s="8" t="inlineStr">
        <is>
          <t>High</t>
        </is>
      </c>
      <c r="H14" s="6" t="inlineStr">
        <is>
          <t>2024-02-26</t>
        </is>
      </c>
      <c r="I14" s="6" t="inlineStr">
        <is>
          <t>2024-03-02</t>
        </is>
      </c>
      <c r="J14" s="6" t="inlineStr"/>
      <c r="K14" s="6" t="n">
        <v>0</v>
      </c>
      <c r="L14" s="6" t="n">
        <v>6</v>
      </c>
      <c r="M14" s="6" t="n">
        <v>0</v>
      </c>
      <c r="N14" s="6" t="inlineStr">
        <is>
          <t>T010</t>
        </is>
      </c>
      <c r="O14" s="6" t="inlineStr"/>
    </row>
    <row r="15">
      <c r="A15" s="6" t="inlineStr">
        <is>
          <t>T014</t>
        </is>
      </c>
      <c r="B15" s="6" t="inlineStr">
        <is>
          <t>Phase 2</t>
        </is>
      </c>
      <c r="C15" s="6" t="inlineStr">
        <is>
          <t>Package Duo for Windows Logon</t>
        </is>
      </c>
      <c r="D15" s="6" t="inlineStr">
        <is>
          <t>Configure with integration keys</t>
        </is>
      </c>
      <c r="E15" s="6" t="inlineStr">
        <is>
          <t>Security Team</t>
        </is>
      </c>
      <c r="F15" s="7" t="inlineStr">
        <is>
          <t>Not Started</t>
        </is>
      </c>
      <c r="G15" s="8" t="inlineStr">
        <is>
          <t>High</t>
        </is>
      </c>
      <c r="H15" s="6" t="inlineStr">
        <is>
          <t>2024-02-27</t>
        </is>
      </c>
      <c r="I15" s="6" t="inlineStr">
        <is>
          <t>2024-03-05</t>
        </is>
      </c>
      <c r="J15" s="6" t="inlineStr"/>
      <c r="K15" s="6" t="n">
        <v>0</v>
      </c>
      <c r="L15" s="6" t="n">
        <v>8</v>
      </c>
      <c r="M15" s="6" t="n">
        <v>0</v>
      </c>
      <c r="N15" s="6" t="inlineStr"/>
      <c r="O15" s="6" t="inlineStr"/>
    </row>
    <row r="16">
      <c r="A16" s="6" t="inlineStr">
        <is>
          <t>T015</t>
        </is>
      </c>
      <c r="B16" s="6" t="inlineStr">
        <is>
          <t>Phase 2</t>
        </is>
      </c>
      <c r="C16" s="6" t="inlineStr">
        <is>
          <t>Package EPASS</t>
        </is>
      </c>
      <c r="D16" s="6" t="inlineStr">
        <is>
          <t>Password management app with domain dependency</t>
        </is>
      </c>
      <c r="E16" s="6" t="inlineStr">
        <is>
          <t>Application Team</t>
        </is>
      </c>
      <c r="F16" s="7" t="inlineStr">
        <is>
          <t>Not Started</t>
        </is>
      </c>
      <c r="G16" s="6" t="inlineStr">
        <is>
          <t>Medium</t>
        </is>
      </c>
      <c r="H16" s="6" t="inlineStr">
        <is>
          <t>2024-03-01</t>
        </is>
      </c>
      <c r="I16" s="6" t="inlineStr">
        <is>
          <t>2024-03-07</t>
        </is>
      </c>
      <c r="J16" s="6" t="inlineStr"/>
      <c r="K16" s="6" t="n">
        <v>0</v>
      </c>
      <c r="L16" s="6" t="n">
        <v>6</v>
      </c>
      <c r="M16" s="6" t="n">
        <v>0</v>
      </c>
      <c r="N16" s="6" t="inlineStr"/>
      <c r="O16" s="6" t="inlineStr">
        <is>
          <t>Domain join required</t>
        </is>
      </c>
    </row>
    <row r="17">
      <c r="A17" s="6" t="inlineStr">
        <is>
          <t>T016</t>
        </is>
      </c>
      <c r="B17" s="6" t="inlineStr">
        <is>
          <t>Phase 2</t>
        </is>
      </c>
      <c r="C17" s="6" t="inlineStr">
        <is>
          <t>Configure Company Portal</t>
        </is>
      </c>
      <c r="D17" s="6" t="inlineStr">
        <is>
          <t>Setup with corporate branding</t>
        </is>
      </c>
      <c r="E17" s="6" t="inlineStr">
        <is>
          <t>Application Team</t>
        </is>
      </c>
      <c r="F17" s="7" t="inlineStr">
        <is>
          <t>Not Started</t>
        </is>
      </c>
      <c r="G17" s="8" t="inlineStr">
        <is>
          <t>High</t>
        </is>
      </c>
      <c r="H17" s="6" t="inlineStr">
        <is>
          <t>2024-02-26</t>
        </is>
      </c>
      <c r="I17" s="6" t="inlineStr">
        <is>
          <t>2024-03-02</t>
        </is>
      </c>
      <c r="J17" s="6" t="inlineStr"/>
      <c r="K17" s="6" t="n">
        <v>0</v>
      </c>
      <c r="L17" s="6" t="n">
        <v>4</v>
      </c>
      <c r="M17" s="6" t="n">
        <v>0</v>
      </c>
      <c r="N17" s="6" t="inlineStr"/>
      <c r="O17" s="6" t="inlineStr"/>
    </row>
    <row r="18">
      <c r="A18" s="6" t="inlineStr">
        <is>
          <t>T017</t>
        </is>
      </c>
      <c r="B18" s="6" t="inlineStr">
        <is>
          <t>Phase 2</t>
        </is>
      </c>
      <c r="C18" s="6" t="inlineStr">
        <is>
          <t>Package Chrome Browser</t>
        </is>
      </c>
      <c r="D18" s="6" t="inlineStr">
        <is>
          <t>Enterprise policies and configuration</t>
        </is>
      </c>
      <c r="E18" s="6" t="inlineStr">
        <is>
          <t>Application Team</t>
        </is>
      </c>
      <c r="F18" s="7" t="inlineStr">
        <is>
          <t>Not Started</t>
        </is>
      </c>
      <c r="G18" s="6" t="inlineStr">
        <is>
          <t>Medium</t>
        </is>
      </c>
      <c r="H18" s="6" t="inlineStr">
        <is>
          <t>2024-03-03</t>
        </is>
      </c>
      <c r="I18" s="6" t="inlineStr">
        <is>
          <t>2024-03-07</t>
        </is>
      </c>
      <c r="J18" s="6" t="inlineStr"/>
      <c r="K18" s="6" t="n">
        <v>0</v>
      </c>
      <c r="L18" s="6" t="n">
        <v>4</v>
      </c>
      <c r="M18" s="6" t="n">
        <v>0</v>
      </c>
      <c r="N18" s="6" t="inlineStr"/>
      <c r="O18" s="6" t="inlineStr"/>
    </row>
    <row r="19">
      <c r="A19" s="6" t="inlineStr">
        <is>
          <t>T018</t>
        </is>
      </c>
      <c r="B19" s="6" t="inlineStr">
        <is>
          <t>Phase 2</t>
        </is>
      </c>
      <c r="C19" s="6" t="inlineStr">
        <is>
          <t>Windows Enterprise Edition Policy</t>
        </is>
      </c>
      <c r="D19" s="6" t="inlineStr">
        <is>
          <t>Create upgrade policy from Pro to Enterprise</t>
        </is>
      </c>
      <c r="E19" s="6" t="inlineStr">
        <is>
          <t>Infrastructure Team</t>
        </is>
      </c>
      <c r="F19" s="7" t="inlineStr">
        <is>
          <t>Not Started</t>
        </is>
      </c>
      <c r="G19" s="9" t="inlineStr">
        <is>
          <t>Critical</t>
        </is>
      </c>
      <c r="H19" s="6" t="inlineStr">
        <is>
          <t>2024-02-24</t>
        </is>
      </c>
      <c r="I19" s="6" t="inlineStr">
        <is>
          <t>2024-02-28</t>
        </is>
      </c>
      <c r="J19" s="6" t="inlineStr"/>
      <c r="K19" s="6" t="n">
        <v>0</v>
      </c>
      <c r="L19" s="6" t="n">
        <v>6</v>
      </c>
      <c r="M19" s="6" t="n">
        <v>0</v>
      </c>
      <c r="N19" s="6" t="inlineStr">
        <is>
          <t>T009</t>
        </is>
      </c>
      <c r="O19" s="6" t="inlineStr">
        <is>
          <t>Must run early in Autopilot</t>
        </is>
      </c>
    </row>
    <row r="20">
      <c r="A20" s="6" t="inlineStr">
        <is>
          <t>T019</t>
        </is>
      </c>
      <c r="B20" s="6" t="inlineStr">
        <is>
          <t>Phase 2</t>
        </is>
      </c>
      <c r="C20" s="6" t="inlineStr">
        <is>
          <t>CIS Baseline Policies</t>
        </is>
      </c>
      <c r="D20" s="6" t="inlineStr">
        <is>
          <t>Import and configure Level 1 baseline</t>
        </is>
      </c>
      <c r="E20" s="6" t="inlineStr">
        <is>
          <t>Security Team</t>
        </is>
      </c>
      <c r="F20" s="7" t="inlineStr">
        <is>
          <t>Not Started</t>
        </is>
      </c>
      <c r="G20" s="8" t="inlineStr">
        <is>
          <t>High</t>
        </is>
      </c>
      <c r="H20" s="6" t="inlineStr">
        <is>
          <t>2024-02-26</t>
        </is>
      </c>
      <c r="I20" s="6" t="inlineStr">
        <is>
          <t>2024-03-04</t>
        </is>
      </c>
      <c r="J20" s="6" t="inlineStr"/>
      <c r="K20" s="6" t="n">
        <v>0</v>
      </c>
      <c r="L20" s="6" t="n">
        <v>12</v>
      </c>
      <c r="M20" s="6" t="n">
        <v>0</v>
      </c>
      <c r="N20" s="6" t="inlineStr"/>
      <c r="O20" s="6" t="inlineStr"/>
    </row>
    <row r="21">
      <c r="A21" s="6" t="inlineStr">
        <is>
          <t>T020</t>
        </is>
      </c>
      <c r="B21" s="6" t="inlineStr">
        <is>
          <t>Phase 2</t>
        </is>
      </c>
      <c r="C21" s="6" t="inlineStr">
        <is>
          <t>Defender Onboarding Package</t>
        </is>
      </c>
      <c r="D21" s="6" t="inlineStr">
        <is>
          <t>Deploy organization-specific package</t>
        </is>
      </c>
      <c r="E21" s="6" t="inlineStr">
        <is>
          <t>Security Team</t>
        </is>
      </c>
      <c r="F21" s="7" t="inlineStr">
        <is>
          <t>Not Started</t>
        </is>
      </c>
      <c r="G21" s="9" t="inlineStr">
        <is>
          <t>Critical</t>
        </is>
      </c>
      <c r="H21" s="6" t="inlineStr">
        <is>
          <t>2024-02-27</t>
        </is>
      </c>
      <c r="I21" s="6" t="inlineStr">
        <is>
          <t>2024-03-05</t>
        </is>
      </c>
      <c r="J21" s="6" t="inlineStr"/>
      <c r="K21" s="6" t="n">
        <v>0</v>
      </c>
      <c r="L21" s="6" t="n">
        <v>8</v>
      </c>
      <c r="M21" s="6" t="n">
        <v>0</v>
      </c>
      <c r="N21" s="6" t="inlineStr"/>
      <c r="O21" s="6" t="inlineStr"/>
    </row>
    <row r="22">
      <c r="A22" s="6" t="inlineStr">
        <is>
          <t>T021</t>
        </is>
      </c>
      <c r="B22" s="6" t="inlineStr">
        <is>
          <t>Phase 2</t>
        </is>
      </c>
      <c r="C22" s="6" t="inlineStr">
        <is>
          <t>Defender AV and Firewall Config</t>
        </is>
      </c>
      <c r="D22" s="6" t="inlineStr">
        <is>
          <t>Configure real-time protection and firewall</t>
        </is>
      </c>
      <c r="E22" s="6" t="inlineStr">
        <is>
          <t>Security Team</t>
        </is>
      </c>
      <c r="F22" s="7" t="inlineStr">
        <is>
          <t>Not Started</t>
        </is>
      </c>
      <c r="G22" s="8" t="inlineStr">
        <is>
          <t>High</t>
        </is>
      </c>
      <c r="H22" s="6" t="inlineStr">
        <is>
          <t>2024-03-01</t>
        </is>
      </c>
      <c r="I22" s="6" t="inlineStr">
        <is>
          <t>2024-03-07</t>
        </is>
      </c>
      <c r="J22" s="6" t="inlineStr"/>
      <c r="K22" s="6" t="n">
        <v>0</v>
      </c>
      <c r="L22" s="6" t="n">
        <v>6</v>
      </c>
      <c r="M22" s="6" t="n">
        <v>0</v>
      </c>
      <c r="N22" s="6" t="inlineStr">
        <is>
          <t>T020</t>
        </is>
      </c>
      <c r="O22" s="6" t="inlineStr"/>
    </row>
    <row r="23">
      <c r="A23" s="6" t="inlineStr">
        <is>
          <t>T022</t>
        </is>
      </c>
      <c r="B23" s="6" t="inlineStr">
        <is>
          <t>Phase 2</t>
        </is>
      </c>
      <c r="C23" s="6" t="inlineStr">
        <is>
          <t>USB Storage Restrictions</t>
        </is>
      </c>
      <c r="D23" s="6" t="inlineStr">
        <is>
          <t>Evaluate and configure access controls</t>
        </is>
      </c>
      <c r="E23" s="6" t="inlineStr">
        <is>
          <t>Security Team</t>
        </is>
      </c>
      <c r="F23" s="7" t="inlineStr">
        <is>
          <t>Not Started</t>
        </is>
      </c>
      <c r="G23" s="6" t="inlineStr">
        <is>
          <t>Medium</t>
        </is>
      </c>
      <c r="H23" s="6" t="inlineStr">
        <is>
          <t>2024-03-03</t>
        </is>
      </c>
      <c r="I23" s="6" t="inlineStr">
        <is>
          <t>2024-03-09</t>
        </is>
      </c>
      <c r="J23" s="6" t="inlineStr"/>
      <c r="K23" s="6" t="n">
        <v>0</v>
      </c>
      <c r="L23" s="6" t="n">
        <v>4</v>
      </c>
      <c r="M23" s="6" t="n">
        <v>0</v>
      </c>
      <c r="N23" s="6" t="inlineStr"/>
      <c r="O23" s="6" t="inlineStr">
        <is>
          <t>Business approval needed</t>
        </is>
      </c>
    </row>
    <row r="24">
      <c r="A24" s="6" t="inlineStr">
        <is>
          <t>T023</t>
        </is>
      </c>
      <c r="B24" s="6" t="inlineStr">
        <is>
          <t>Phase 3</t>
        </is>
      </c>
      <c r="C24" s="6" t="inlineStr">
        <is>
          <t>Design Device Naming Convention</t>
        </is>
      </c>
      <c r="D24" s="6" t="inlineStr">
        <is>
          <t>Establish naming standards and templates</t>
        </is>
      </c>
      <c r="E24" s="6" t="inlineStr">
        <is>
          <t>Infrastructure Team</t>
        </is>
      </c>
      <c r="F24" s="7" t="inlineStr">
        <is>
          <t>Not Started</t>
        </is>
      </c>
      <c r="G24" s="8" t="inlineStr">
        <is>
          <t>High</t>
        </is>
      </c>
      <c r="H24" s="6" t="inlineStr">
        <is>
          <t>2024-03-08</t>
        </is>
      </c>
      <c r="I24" s="6" t="inlineStr">
        <is>
          <t>2024-03-12</t>
        </is>
      </c>
      <c r="J24" s="6" t="inlineStr"/>
      <c r="K24" s="6" t="n">
        <v>0</v>
      </c>
      <c r="L24" s="6" t="n">
        <v>8</v>
      </c>
      <c r="M24" s="6" t="n">
        <v>0</v>
      </c>
      <c r="N24" s="6" t="inlineStr">
        <is>
          <t>T022</t>
        </is>
      </c>
      <c r="O24" s="6" t="inlineStr"/>
    </row>
    <row r="25">
      <c r="A25" s="6" t="inlineStr">
        <is>
          <t>T024</t>
        </is>
      </c>
      <c r="B25" s="6" t="inlineStr">
        <is>
          <t>Phase 3</t>
        </is>
      </c>
      <c r="C25" s="6" t="inlineStr">
        <is>
          <t>Create Autopilot Profiles by Department</t>
        </is>
      </c>
      <c r="D25" s="6" t="inlineStr">
        <is>
          <t>IT, HR, Finance, Executive profiles</t>
        </is>
      </c>
      <c r="E25" s="6" t="inlineStr">
        <is>
          <t>Infrastructure Team</t>
        </is>
      </c>
      <c r="F25" s="7" t="inlineStr">
        <is>
          <t>Not Started</t>
        </is>
      </c>
      <c r="G25" s="8" t="inlineStr">
        <is>
          <t>High</t>
        </is>
      </c>
      <c r="H25" s="6" t="inlineStr">
        <is>
          <t>2024-03-10</t>
        </is>
      </c>
      <c r="I25" s="6" t="inlineStr">
        <is>
          <t>2024-03-14</t>
        </is>
      </c>
      <c r="J25" s="6" t="inlineStr"/>
      <c r="K25" s="6" t="n">
        <v>0</v>
      </c>
      <c r="L25" s="6" t="n">
        <v>12</v>
      </c>
      <c r="M25" s="6" t="n">
        <v>0</v>
      </c>
      <c r="N25" s="6" t="inlineStr">
        <is>
          <t>T023</t>
        </is>
      </c>
      <c r="O25" s="6" t="inlineStr"/>
    </row>
    <row r="26">
      <c r="A26" s="6" t="inlineStr">
        <is>
          <t>T025</t>
        </is>
      </c>
      <c r="B26" s="6" t="inlineStr">
        <is>
          <t>Phase 3</t>
        </is>
      </c>
      <c r="C26" s="6" t="inlineStr">
        <is>
          <t>Develop PowerShell Naming Script</t>
        </is>
      </c>
      <c r="D26" s="6" t="inlineStr">
        <is>
          <t>Fallback script for custom naming</t>
        </is>
      </c>
      <c r="E26" s="6" t="inlineStr">
        <is>
          <t>Infrastructure Team</t>
        </is>
      </c>
      <c r="F26" s="7" t="inlineStr">
        <is>
          <t>Not Started</t>
        </is>
      </c>
      <c r="G26" s="6" t="inlineStr">
        <is>
          <t>Medium</t>
        </is>
      </c>
      <c r="H26" s="6" t="inlineStr">
        <is>
          <t>2024-03-12</t>
        </is>
      </c>
      <c r="I26" s="6" t="inlineStr">
        <is>
          <t>2024-03-16</t>
        </is>
      </c>
      <c r="J26" s="6" t="inlineStr"/>
      <c r="K26" s="6" t="n">
        <v>0</v>
      </c>
      <c r="L26" s="6" t="n">
        <v>8</v>
      </c>
      <c r="M26" s="6" t="n">
        <v>0</v>
      </c>
      <c r="N26" s="6" t="inlineStr">
        <is>
          <t>T023</t>
        </is>
      </c>
      <c r="O26" s="6" t="inlineStr"/>
    </row>
    <row r="27">
      <c r="A27" s="6" t="inlineStr">
        <is>
          <t>T026</t>
        </is>
      </c>
      <c r="B27" s="6" t="inlineStr">
        <is>
          <t>Phase 3</t>
        </is>
      </c>
      <c r="C27" s="6" t="inlineStr">
        <is>
          <t>Create IT Depot Manual Procedure</t>
        </is>
      </c>
      <c r="D27" s="6" t="inlineStr">
        <is>
          <t>Backup manual naming process</t>
        </is>
      </c>
      <c r="E27" s="6" t="inlineStr">
        <is>
          <t>Process Team</t>
        </is>
      </c>
      <c r="F27" s="7" t="inlineStr">
        <is>
          <t>Not Started</t>
        </is>
      </c>
      <c r="G27" s="6" t="inlineStr">
        <is>
          <t>Low</t>
        </is>
      </c>
      <c r="H27" s="6" t="inlineStr">
        <is>
          <t>2024-03-13</t>
        </is>
      </c>
      <c r="I27" s="6" t="inlineStr">
        <is>
          <t>2024-03-17</t>
        </is>
      </c>
      <c r="J27" s="6" t="inlineStr"/>
      <c r="K27" s="6" t="n">
        <v>0</v>
      </c>
      <c r="L27" s="6" t="n">
        <v>4</v>
      </c>
      <c r="M27" s="6" t="n">
        <v>0</v>
      </c>
      <c r="N27" s="6" t="inlineStr">
        <is>
          <t>T023</t>
        </is>
      </c>
      <c r="O27" s="6" t="inlineStr"/>
    </row>
    <row r="28">
      <c r="A28" s="6" t="inlineStr">
        <is>
          <t>T027</t>
        </is>
      </c>
      <c r="B28" s="6" t="inlineStr">
        <is>
          <t>Phase 3</t>
        </is>
      </c>
      <c r="C28" s="6" t="inlineStr">
        <is>
          <t>Test Device Naming Scenarios</t>
        </is>
      </c>
      <c r="D28" s="6" t="inlineStr">
        <is>
          <t>Test all naming approaches</t>
        </is>
      </c>
      <c r="E28" s="6" t="inlineStr">
        <is>
          <t>QA Team</t>
        </is>
      </c>
      <c r="F28" s="7" t="inlineStr">
        <is>
          <t>Not Started</t>
        </is>
      </c>
      <c r="G28" s="8" t="inlineStr">
        <is>
          <t>High</t>
        </is>
      </c>
      <c r="H28" s="6" t="inlineStr">
        <is>
          <t>2024-03-15</t>
        </is>
      </c>
      <c r="I28" s="6" t="inlineStr">
        <is>
          <t>2024-03-19</t>
        </is>
      </c>
      <c r="J28" s="6" t="inlineStr"/>
      <c r="K28" s="6" t="n">
        <v>0</v>
      </c>
      <c r="L28" s="6" t="n">
        <v>8</v>
      </c>
      <c r="M28" s="6" t="n">
        <v>0</v>
      </c>
      <c r="N28" s="6" t="inlineStr">
        <is>
          <t>T024,T025</t>
        </is>
      </c>
      <c r="O28" s="6" t="inlineStr"/>
    </row>
    <row r="29">
      <c r="A29" s="6" t="inlineStr">
        <is>
          <t>T028</t>
        </is>
      </c>
      <c r="B29" s="6" t="inlineStr">
        <is>
          <t>Phase 3</t>
        </is>
      </c>
      <c r="C29" s="6" t="inlineStr">
        <is>
          <t>Validate Deployment Mode Assignments</t>
        </is>
      </c>
      <c r="D29" s="6" t="inlineStr">
        <is>
          <t>Apply decision matrix to test scenarios</t>
        </is>
      </c>
      <c r="E29" s="6" t="inlineStr">
        <is>
          <t>Project Manager</t>
        </is>
      </c>
      <c r="F29" s="7" t="inlineStr">
        <is>
          <t>Not Started</t>
        </is>
      </c>
      <c r="G29" s="8" t="inlineStr">
        <is>
          <t>High</t>
        </is>
      </c>
      <c r="H29" s="6" t="inlineStr">
        <is>
          <t>2024-03-17</t>
        </is>
      </c>
      <c r="I29" s="6" t="inlineStr">
        <is>
          <t>2024-03-21</t>
        </is>
      </c>
      <c r="J29" s="6" t="inlineStr"/>
      <c r="K29" s="6" t="n">
        <v>0</v>
      </c>
      <c r="L29" s="6" t="n">
        <v>6</v>
      </c>
      <c r="M29" s="6" t="n">
        <v>0</v>
      </c>
      <c r="N29" s="6" t="inlineStr">
        <is>
          <t>T027</t>
        </is>
      </c>
      <c r="O29" s="6" t="inlineStr">
        <is>
          <t>Ensure correct mode selection</t>
        </is>
      </c>
    </row>
    <row r="30">
      <c r="A30" s="6" t="inlineStr">
        <is>
          <t>T029</t>
        </is>
      </c>
      <c r="B30" s="6" t="inlineStr">
        <is>
          <t>Phase 4</t>
        </is>
      </c>
      <c r="C30" s="6" t="inlineStr">
        <is>
          <t>Enable Co-management in SCCM</t>
        </is>
      </c>
      <c r="D30" s="6" t="inlineStr">
        <is>
          <t>Configure SCCM for co-management</t>
        </is>
      </c>
      <c r="E30" s="6" t="inlineStr">
        <is>
          <t>SCCM Team</t>
        </is>
      </c>
      <c r="F30" s="7" t="inlineStr">
        <is>
          <t>Not Started</t>
        </is>
      </c>
      <c r="G30" s="8" t="inlineStr">
        <is>
          <t>High</t>
        </is>
      </c>
      <c r="H30" s="6" t="inlineStr">
        <is>
          <t>2024-03-20</t>
        </is>
      </c>
      <c r="I30" s="6" t="inlineStr">
        <is>
          <t>2024-03-24</t>
        </is>
      </c>
      <c r="J30" s="6" t="inlineStr"/>
      <c r="K30" s="6" t="n">
        <v>0</v>
      </c>
      <c r="L30" s="6" t="n">
        <v>6</v>
      </c>
      <c r="M30" s="6" t="n">
        <v>0</v>
      </c>
      <c r="N30" s="6" t="inlineStr">
        <is>
          <t>T028</t>
        </is>
      </c>
      <c r="O30" s="6" t="inlineStr"/>
    </row>
    <row r="31">
      <c r="A31" s="6" t="inlineStr">
        <is>
          <t>T030</t>
        </is>
      </c>
      <c r="B31" s="6" t="inlineStr">
        <is>
          <t>Phase 4</t>
        </is>
      </c>
      <c r="C31" s="6" t="inlineStr">
        <is>
          <t>Package SCCM Client</t>
        </is>
      </c>
      <c r="D31" s="6" t="inlineStr">
        <is>
          <t>Create Intune app for SCCM client</t>
        </is>
      </c>
      <c r="E31" s="6" t="inlineStr">
        <is>
          <t>SCCM Team</t>
        </is>
      </c>
      <c r="F31" s="7" t="inlineStr">
        <is>
          <t>Not Started</t>
        </is>
      </c>
      <c r="G31" s="9" t="inlineStr">
        <is>
          <t>Critical</t>
        </is>
      </c>
      <c r="H31" s="6" t="inlineStr">
        <is>
          <t>2024-03-22</t>
        </is>
      </c>
      <c r="I31" s="6" t="inlineStr">
        <is>
          <t>2024-03-26</t>
        </is>
      </c>
      <c r="J31" s="6" t="inlineStr"/>
      <c r="K31" s="6" t="n">
        <v>0</v>
      </c>
      <c r="L31" s="6" t="n">
        <v>10</v>
      </c>
      <c r="M31" s="6" t="n">
        <v>0</v>
      </c>
      <c r="N31" s="6" t="inlineStr">
        <is>
          <t>T029</t>
        </is>
      </c>
      <c r="O31" s="6" t="inlineStr"/>
    </row>
    <row r="32">
      <c r="A32" s="6" t="inlineStr">
        <is>
          <t>T031</t>
        </is>
      </c>
      <c r="B32" s="6" t="inlineStr">
        <is>
          <t>Phase 4</t>
        </is>
      </c>
      <c r="C32" s="6" t="inlineStr">
        <is>
          <t>Configure Application Sequencing</t>
        </is>
      </c>
      <c r="D32" s="6" t="inlineStr">
        <is>
          <t>Set installation order for all apps</t>
        </is>
      </c>
      <c r="E32" s="6" t="inlineStr">
        <is>
          <t>Application Team</t>
        </is>
      </c>
      <c r="F32" s="7" t="inlineStr">
        <is>
          <t>Not Started</t>
        </is>
      </c>
      <c r="G32" s="8" t="inlineStr">
        <is>
          <t>High</t>
        </is>
      </c>
      <c r="H32" s="6" t="inlineStr">
        <is>
          <t>2024-03-24</t>
        </is>
      </c>
      <c r="I32" s="6" t="inlineStr">
        <is>
          <t>2024-03-28</t>
        </is>
      </c>
      <c r="J32" s="6" t="inlineStr"/>
      <c r="K32" s="6" t="n">
        <v>0</v>
      </c>
      <c r="L32" s="6" t="n">
        <v>8</v>
      </c>
      <c r="M32" s="6" t="n">
        <v>0</v>
      </c>
      <c r="N32" s="6" t="inlineStr">
        <is>
          <t>T030</t>
        </is>
      </c>
      <c r="O32" s="6" t="inlineStr"/>
    </row>
    <row r="33">
      <c r="A33" s="6" t="inlineStr">
        <is>
          <t>T032</t>
        </is>
      </c>
      <c r="B33" s="6" t="inlineStr">
        <is>
          <t>Phase 4</t>
        </is>
      </c>
      <c r="C33" s="6" t="inlineStr">
        <is>
          <t>Test Pre-Provisioning Workflow</t>
        </is>
      </c>
      <c r="D33" s="6" t="inlineStr">
        <is>
          <t>Validate white glove deployment process</t>
        </is>
      </c>
      <c r="E33" s="6" t="inlineStr">
        <is>
          <t>QA Team</t>
        </is>
      </c>
      <c r="F33" s="7" t="inlineStr">
        <is>
          <t>Not Started</t>
        </is>
      </c>
      <c r="G33" s="8" t="inlineStr">
        <is>
          <t>High</t>
        </is>
      </c>
      <c r="H33" s="6" t="inlineStr">
        <is>
          <t>2024-03-26</t>
        </is>
      </c>
      <c r="I33" s="6" t="inlineStr">
        <is>
          <t>2024-04-01</t>
        </is>
      </c>
      <c r="J33" s="6" t="inlineStr"/>
      <c r="K33" s="6" t="n">
        <v>0</v>
      </c>
      <c r="L33" s="6" t="n">
        <v>16</v>
      </c>
      <c r="M33" s="6" t="n">
        <v>0</v>
      </c>
      <c r="N33" s="6" t="inlineStr">
        <is>
          <t>T031</t>
        </is>
      </c>
      <c r="O33" s="6" t="inlineStr">
        <is>
          <t>For devices requiring this mode</t>
        </is>
      </c>
    </row>
    <row r="34">
      <c r="A34" s="6" t="inlineStr">
        <is>
          <t>T033</t>
        </is>
      </c>
      <c r="B34" s="6" t="inlineStr">
        <is>
          <t>Phase 5</t>
        </is>
      </c>
      <c r="C34" s="6" t="inlineStr">
        <is>
          <t>Security Application Testing</t>
        </is>
      </c>
      <c r="D34" s="6" t="inlineStr">
        <is>
          <t>Test CrowdStrike, Absolute, Defender deployment</t>
        </is>
      </c>
      <c r="E34" s="6" t="inlineStr">
        <is>
          <t>Security Team</t>
        </is>
      </c>
      <c r="F34" s="7" t="inlineStr">
        <is>
          <t>Not Started</t>
        </is>
      </c>
      <c r="G34" s="9" t="inlineStr">
        <is>
          <t>Critical</t>
        </is>
      </c>
      <c r="H34" s="6" t="inlineStr">
        <is>
          <t>2024-03-29</t>
        </is>
      </c>
      <c r="I34" s="6" t="inlineStr">
        <is>
          <t>2024-04-05</t>
        </is>
      </c>
      <c r="J34" s="6" t="inlineStr"/>
      <c r="K34" s="6" t="n">
        <v>0</v>
      </c>
      <c r="L34" s="6" t="n">
        <v>24</v>
      </c>
      <c r="M34" s="6" t="n">
        <v>0</v>
      </c>
      <c r="N34" s="6" t="inlineStr">
        <is>
          <t>T032</t>
        </is>
      </c>
      <c r="O34" s="6" t="inlineStr">
        <is>
          <t>Test 10 devices each mode</t>
        </is>
      </c>
    </row>
    <row r="35">
      <c r="A35" s="6" t="inlineStr">
        <is>
          <t>T034</t>
        </is>
      </c>
      <c r="B35" s="6" t="inlineStr">
        <is>
          <t>Phase 5</t>
        </is>
      </c>
      <c r="C35" s="6" t="inlineStr">
        <is>
          <t>VPN and Authentication Testing</t>
        </is>
      </c>
      <c r="D35" s="6" t="inlineStr">
        <is>
          <t>Test VPN, Duo, domain join process</t>
        </is>
      </c>
      <c r="E35" s="6" t="inlineStr">
        <is>
          <t>Network Team</t>
        </is>
      </c>
      <c r="F35" s="7" t="inlineStr">
        <is>
          <t>Not Started</t>
        </is>
      </c>
      <c r="G35" s="9" t="inlineStr">
        <is>
          <t>Critical</t>
        </is>
      </c>
      <c r="H35" s="6" t="inlineStr">
        <is>
          <t>2024-04-01</t>
        </is>
      </c>
      <c r="I35" s="6" t="inlineStr">
        <is>
          <t>2024-04-08</t>
        </is>
      </c>
      <c r="J35" s="6" t="inlineStr"/>
      <c r="K35" s="6" t="n">
        <v>0</v>
      </c>
      <c r="L35" s="6" t="n">
        <v>20</v>
      </c>
      <c r="M35" s="6" t="n">
        <v>0</v>
      </c>
      <c r="N35" s="6" t="inlineStr">
        <is>
          <t>T032</t>
        </is>
      </c>
      <c r="O35" s="6" t="inlineStr"/>
    </row>
    <row r="36">
      <c r="A36" s="6" t="inlineStr">
        <is>
          <t>T035</t>
        </is>
      </c>
      <c r="B36" s="6" t="inlineStr">
        <is>
          <t>Phase 5</t>
        </is>
      </c>
      <c r="C36" s="6" t="inlineStr">
        <is>
          <t>Device Naming Validation</t>
        </is>
      </c>
      <c r="D36" s="6" t="inlineStr">
        <is>
          <t>Verify all naming conventions work</t>
        </is>
      </c>
      <c r="E36" s="6" t="inlineStr">
        <is>
          <t>Infrastructure Team</t>
        </is>
      </c>
      <c r="F36" s="7" t="inlineStr">
        <is>
          <t>Not Started</t>
        </is>
      </c>
      <c r="G36" s="8" t="inlineStr">
        <is>
          <t>High</t>
        </is>
      </c>
      <c r="H36" s="6" t="inlineStr">
        <is>
          <t>2024-04-03</t>
        </is>
      </c>
      <c r="I36" s="6" t="inlineStr">
        <is>
          <t>2024-04-09</t>
        </is>
      </c>
      <c r="J36" s="6" t="inlineStr"/>
      <c r="K36" s="6" t="n">
        <v>0</v>
      </c>
      <c r="L36" s="6" t="n">
        <v>12</v>
      </c>
      <c r="M36" s="6" t="n">
        <v>0</v>
      </c>
      <c r="N36" s="6" t="inlineStr">
        <is>
          <t>T033,T034</t>
        </is>
      </c>
      <c r="O36" s="6" t="inlineStr"/>
    </row>
    <row r="37">
      <c r="A37" s="6" t="inlineStr">
        <is>
          <t>T036</t>
        </is>
      </c>
      <c r="B37" s="6" t="inlineStr">
        <is>
          <t>Phase 5</t>
        </is>
      </c>
      <c r="C37" s="6" t="inlineStr">
        <is>
          <t>Deployment Mode Performance Testing</t>
        </is>
      </c>
      <c r="D37" s="6" t="inlineStr">
        <is>
          <t>Compare User-Driven vs Pre-Provisioning metrics</t>
        </is>
      </c>
      <c r="E37" s="6" t="inlineStr">
        <is>
          <t>QA Team</t>
        </is>
      </c>
      <c r="F37" s="7" t="inlineStr">
        <is>
          <t>Not Started</t>
        </is>
      </c>
      <c r="G37" s="8" t="inlineStr">
        <is>
          <t>High</t>
        </is>
      </c>
      <c r="H37" s="6" t="inlineStr">
        <is>
          <t>2024-04-05</t>
        </is>
      </c>
      <c r="I37" s="6" t="inlineStr">
        <is>
          <t>2024-04-11</t>
        </is>
      </c>
      <c r="J37" s="6" t="inlineStr"/>
      <c r="K37" s="6" t="n">
        <v>0</v>
      </c>
      <c r="L37" s="6" t="n">
        <v>16</v>
      </c>
      <c r="M37" s="6" t="n">
        <v>0</v>
      </c>
      <c r="N37" s="6" t="inlineStr">
        <is>
          <t>T035</t>
        </is>
      </c>
      <c r="O37" s="6" t="inlineStr">
        <is>
          <t>Timing and success rates</t>
        </is>
      </c>
    </row>
    <row r="38">
      <c r="A38" s="6" t="inlineStr">
        <is>
          <t>T037</t>
        </is>
      </c>
      <c r="B38" s="6" t="inlineStr">
        <is>
          <t>Phase 5</t>
        </is>
      </c>
      <c r="C38" s="6" t="inlineStr">
        <is>
          <t>End-to-End Pilot Testing</t>
        </is>
      </c>
      <c r="D38" s="6" t="inlineStr">
        <is>
          <t>Complete deployment testing</t>
        </is>
      </c>
      <c r="E38" s="6" t="inlineStr">
        <is>
          <t>QA Team</t>
        </is>
      </c>
      <c r="F38" s="7" t="inlineStr">
        <is>
          <t>Not Started</t>
        </is>
      </c>
      <c r="G38" s="9" t="inlineStr">
        <is>
          <t>Critical</t>
        </is>
      </c>
      <c r="H38" s="6" t="inlineStr">
        <is>
          <t>2024-04-08</t>
        </is>
      </c>
      <c r="I38" s="6" t="inlineStr">
        <is>
          <t>2024-04-15</t>
        </is>
      </c>
      <c r="J38" s="6" t="inlineStr"/>
      <c r="K38" s="6" t="n">
        <v>0</v>
      </c>
      <c r="L38" s="6" t="n">
        <v>40</v>
      </c>
      <c r="M38" s="6" t="n">
        <v>0</v>
      </c>
      <c r="N38" s="6" t="inlineStr">
        <is>
          <t>T036</t>
        </is>
      </c>
      <c r="O38" s="6" t="inlineStr">
        <is>
          <t>20 pilot devices - mixed modes</t>
        </is>
      </c>
    </row>
    <row r="39">
      <c r="A39" s="6" t="inlineStr">
        <is>
          <t>T038</t>
        </is>
      </c>
      <c r="B39" s="6" t="inlineStr">
        <is>
          <t>Phase 5</t>
        </is>
      </c>
      <c r="C39" s="6" t="inlineStr">
        <is>
          <t>Performance Optimization</t>
        </is>
      </c>
      <c r="D39" s="6" t="inlineStr">
        <is>
          <t>Optimize deployment speed and reliability</t>
        </is>
      </c>
      <c r="E39" s="6" t="inlineStr">
        <is>
          <t>Infrastructure Team</t>
        </is>
      </c>
      <c r="F39" s="7" t="inlineStr">
        <is>
          <t>Not Started</t>
        </is>
      </c>
      <c r="G39" s="6" t="inlineStr">
        <is>
          <t>Medium</t>
        </is>
      </c>
      <c r="H39" s="6" t="inlineStr">
        <is>
          <t>2024-04-10</t>
        </is>
      </c>
      <c r="I39" s="6" t="inlineStr">
        <is>
          <t>2024-04-16</t>
        </is>
      </c>
      <c r="J39" s="6" t="inlineStr"/>
      <c r="K39" s="6" t="n">
        <v>0</v>
      </c>
      <c r="L39" s="6" t="n">
        <v>16</v>
      </c>
      <c r="M39" s="6" t="n">
        <v>0</v>
      </c>
      <c r="N39" s="6" t="inlineStr">
        <is>
          <t>T037</t>
        </is>
      </c>
      <c r="O39" s="6" t="inlineStr"/>
    </row>
    <row r="40">
      <c r="A40" s="6" t="inlineStr">
        <is>
          <t>T039</t>
        </is>
      </c>
      <c r="B40" s="6" t="inlineStr">
        <is>
          <t>Phase 6</t>
        </is>
      </c>
      <c r="C40" s="6" t="inlineStr">
        <is>
          <t>Security Team Training</t>
        </is>
      </c>
      <c r="D40" s="6" t="inlineStr">
        <is>
          <t>Train on new security applications</t>
        </is>
      </c>
      <c r="E40" s="6" t="inlineStr">
        <is>
          <t>Security Team</t>
        </is>
      </c>
      <c r="F40" s="7" t="inlineStr">
        <is>
          <t>Not Started</t>
        </is>
      </c>
      <c r="G40" s="8" t="inlineStr">
        <is>
          <t>High</t>
        </is>
      </c>
      <c r="H40" s="6" t="inlineStr">
        <is>
          <t>2024-04-15</t>
        </is>
      </c>
      <c r="I40" s="6" t="inlineStr">
        <is>
          <t>2024-04-19</t>
        </is>
      </c>
      <c r="J40" s="6" t="inlineStr"/>
      <c r="K40" s="6" t="n">
        <v>0</v>
      </c>
      <c r="L40" s="6" t="n">
        <v>8</v>
      </c>
      <c r="M40" s="6" t="n">
        <v>0</v>
      </c>
      <c r="N40" s="6" t="inlineStr">
        <is>
          <t>T038</t>
        </is>
      </c>
      <c r="O40" s="6" t="inlineStr"/>
    </row>
    <row r="41">
      <c r="A41" s="6" t="inlineStr">
        <is>
          <t>T040</t>
        </is>
      </c>
      <c r="B41" s="6" t="inlineStr">
        <is>
          <t>Phase 6</t>
        </is>
      </c>
      <c r="C41" s="6" t="inlineStr">
        <is>
          <t>Help Desk Training</t>
        </is>
      </c>
      <c r="D41" s="6" t="inlineStr">
        <is>
          <t>Train on Autopilot troubleshooting</t>
        </is>
      </c>
      <c r="E41" s="6" t="inlineStr">
        <is>
          <t>Training Team</t>
        </is>
      </c>
      <c r="F41" s="7" t="inlineStr">
        <is>
          <t>Not Started</t>
        </is>
      </c>
      <c r="G41" s="8" t="inlineStr">
        <is>
          <t>High</t>
        </is>
      </c>
      <c r="H41" s="6" t="inlineStr">
        <is>
          <t>2024-04-17</t>
        </is>
      </c>
      <c r="I41" s="6" t="inlineStr">
        <is>
          <t>2024-04-21</t>
        </is>
      </c>
      <c r="J41" s="6" t="inlineStr"/>
      <c r="K41" s="6" t="n">
        <v>0</v>
      </c>
      <c r="L41" s="6" t="n">
        <v>12</v>
      </c>
      <c r="M41" s="6" t="n">
        <v>0</v>
      </c>
      <c r="N41" s="6" t="inlineStr">
        <is>
          <t>T038</t>
        </is>
      </c>
      <c r="O41" s="6" t="inlineStr">
        <is>
          <t>Include deployment mode decision tree</t>
        </is>
      </c>
    </row>
    <row r="42">
      <c r="A42" s="6" t="inlineStr">
        <is>
          <t>T041</t>
        </is>
      </c>
      <c r="B42" s="6" t="inlineStr">
        <is>
          <t>Phase 6</t>
        </is>
      </c>
      <c r="C42" s="6" t="inlineStr">
        <is>
          <t>Production Rollout Strategy</t>
        </is>
      </c>
      <c r="D42" s="6" t="inlineStr">
        <is>
          <t>Implement deployment mode assignments</t>
        </is>
      </c>
      <c r="E42" s="6" t="inlineStr">
        <is>
          <t>Project Manager</t>
        </is>
      </c>
      <c r="F42" s="7" t="inlineStr">
        <is>
          <t>Not Started</t>
        </is>
      </c>
      <c r="G42" s="9" t="inlineStr">
        <is>
          <t>Critical</t>
        </is>
      </c>
      <c r="H42" s="6" t="inlineStr">
        <is>
          <t>2024-04-19</t>
        </is>
      </c>
      <c r="I42" s="6" t="inlineStr">
        <is>
          <t>2024-04-25</t>
        </is>
      </c>
      <c r="J42" s="6" t="inlineStr"/>
      <c r="K42" s="6" t="n">
        <v>0</v>
      </c>
      <c r="L42" s="6" t="n">
        <v>20</v>
      </c>
      <c r="M42" s="6" t="n">
        <v>0</v>
      </c>
      <c r="N42" s="6" t="inlineStr">
        <is>
          <t>T039,T040</t>
        </is>
      </c>
      <c r="O42" s="6" t="inlineStr">
        <is>
          <t>Apply decision matrix</t>
        </is>
      </c>
    </row>
    <row r="43">
      <c r="A43" s="6" t="inlineStr">
        <is>
          <t>T042</t>
        </is>
      </c>
      <c r="B43" s="6" t="inlineStr">
        <is>
          <t>Phase 6</t>
        </is>
      </c>
      <c r="C43" s="6" t="inlineStr">
        <is>
          <t>Phased Production Rollout</t>
        </is>
      </c>
      <c r="D43" s="6" t="inlineStr">
        <is>
          <t>Deploy by department phases</t>
        </is>
      </c>
      <c r="E43" s="6" t="inlineStr">
        <is>
          <t>Project Manager</t>
        </is>
      </c>
      <c r="F43" s="7" t="inlineStr">
        <is>
          <t>Not Started</t>
        </is>
      </c>
      <c r="G43" s="9" t="inlineStr">
        <is>
          <t>Critical</t>
        </is>
      </c>
      <c r="H43" s="6" t="inlineStr">
        <is>
          <t>2024-04-22</t>
        </is>
      </c>
      <c r="I43" s="6" t="inlineStr">
        <is>
          <t>2024-05-06</t>
        </is>
      </c>
      <c r="J43" s="6" t="inlineStr"/>
      <c r="K43" s="6" t="n">
        <v>0</v>
      </c>
      <c r="L43" s="6" t="n">
        <v>60</v>
      </c>
      <c r="M43" s="6" t="n">
        <v>0</v>
      </c>
      <c r="N43" s="6" t="inlineStr">
        <is>
          <t>T041</t>
        </is>
      </c>
      <c r="O43" s="6" t="inlineStr">
        <is>
          <t>All departments - mixed modes</t>
        </is>
      </c>
    </row>
    <row r="44">
      <c r="A44" s="6" t="inlineStr">
        <is>
          <t>T043</t>
        </is>
      </c>
      <c r="B44" s="6" t="inlineStr">
        <is>
          <t>Phase 6</t>
        </is>
      </c>
      <c r="C44" s="6" t="inlineStr">
        <is>
          <t>Monitoring Dashboard Setup</t>
        </is>
      </c>
      <c r="D44" s="6" t="inlineStr">
        <is>
          <t>Create deployment monitoring</t>
        </is>
      </c>
      <c r="E44" s="6" t="inlineStr">
        <is>
          <t>Infrastructure Team</t>
        </is>
      </c>
      <c r="F44" s="7" t="inlineStr">
        <is>
          <t>Not Started</t>
        </is>
      </c>
      <c r="G44" s="6" t="inlineStr">
        <is>
          <t>Medium</t>
        </is>
      </c>
      <c r="H44" s="6" t="inlineStr">
        <is>
          <t>2024-04-24</t>
        </is>
      </c>
      <c r="I44" s="6" t="inlineStr">
        <is>
          <t>2024-04-28</t>
        </is>
      </c>
      <c r="J44" s="6" t="inlineStr"/>
      <c r="K44" s="6" t="n">
        <v>0</v>
      </c>
      <c r="L44" s="6" t="n">
        <v>12</v>
      </c>
      <c r="M44" s="6" t="n">
        <v>0</v>
      </c>
      <c r="N44" s="6" t="inlineStr">
        <is>
          <t>T042</t>
        </is>
      </c>
      <c r="O44" s="6" t="inlineStr">
        <is>
          <t>Track mode-specific metrics</t>
        </is>
      </c>
    </row>
    <row r="45">
      <c r="A45" s="6" t="inlineStr">
        <is>
          <t>T044</t>
        </is>
      </c>
      <c r="B45" s="6" t="inlineStr">
        <is>
          <t>Phase 6</t>
        </is>
      </c>
      <c r="C45" s="6" t="inlineStr">
        <is>
          <t>Documentation Finalization</t>
        </is>
      </c>
      <c r="D45" s="6" t="inlineStr">
        <is>
          <t>Complete all project documentation</t>
        </is>
      </c>
      <c r="E45" s="6" t="inlineStr">
        <is>
          <t>Documentation Team</t>
        </is>
      </c>
      <c r="F45" s="7" t="inlineStr">
        <is>
          <t>Not Started</t>
        </is>
      </c>
      <c r="G45" s="6" t="inlineStr">
        <is>
          <t>Medium</t>
        </is>
      </c>
      <c r="H45" s="6" t="inlineStr">
        <is>
          <t>2024-04-29</t>
        </is>
      </c>
      <c r="I45" s="6" t="inlineStr">
        <is>
          <t>2024-05-03</t>
        </is>
      </c>
      <c r="J45" s="6" t="inlineStr"/>
      <c r="K45" s="6" t="n">
        <v>0</v>
      </c>
      <c r="L45" s="6" t="n">
        <v>16</v>
      </c>
      <c r="M45" s="6" t="n">
        <v>0</v>
      </c>
      <c r="N45" s="6" t="inlineStr">
        <is>
          <t>T043</t>
        </is>
      </c>
      <c r="O45" s="6" t="inlineStr">
        <is>
          <t>Include decision matrix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41" customWidth="1" min="4" max="4"/>
    <col width="54" customWidth="1" min="5" max="5"/>
    <col width="23" customWidth="1" min="6" max="6"/>
    <col width="10" customWidth="1" min="7" max="7"/>
    <col width="10" customWidth="1" min="8" max="8"/>
    <col width="13" customWidth="1" min="9" max="9"/>
    <col width="21" customWidth="1" min="10" max="10"/>
    <col width="17" customWidth="1" min="11" max="11"/>
    <col width="34" customWidth="1" min="12" max="12"/>
    <col width="12" customWidth="1" min="13" max="13"/>
    <col width="15" customWidth="1" min="14" max="14"/>
    <col width="25" customWidth="1" min="15" max="15"/>
    <col width="20" customWidth="1" min="16" max="16"/>
    <col width="42" customWidth="1" min="17" max="17"/>
  </cols>
  <sheetData>
    <row r="1">
      <c r="A1" s="10" t="inlineStr">
        <is>
          <t>Issue ID</t>
        </is>
      </c>
      <c r="B1" s="10" t="inlineStr">
        <is>
          <t>Date Reported</t>
        </is>
      </c>
      <c r="C1" s="10" t="inlineStr">
        <is>
          <t>Reported By</t>
        </is>
      </c>
      <c r="D1" s="10" t="inlineStr">
        <is>
          <t>Issue Title</t>
        </is>
      </c>
      <c r="E1" s="10" t="inlineStr">
        <is>
          <t>Description</t>
        </is>
      </c>
      <c r="F1" s="10" t="inlineStr">
        <is>
          <t>Category</t>
        </is>
      </c>
      <c r="G1" s="10" t="inlineStr">
        <is>
          <t>Severity</t>
        </is>
      </c>
      <c r="H1" s="10" t="inlineStr">
        <is>
          <t>Priority</t>
        </is>
      </c>
      <c r="I1" s="10" t="inlineStr">
        <is>
          <t>Status</t>
        </is>
      </c>
      <c r="J1" s="10" t="inlineStr">
        <is>
          <t>Assigned To</t>
        </is>
      </c>
      <c r="K1" s="10" t="inlineStr">
        <is>
          <t>Related Task ID</t>
        </is>
      </c>
      <c r="L1" s="10" t="inlineStr">
        <is>
          <t>Root Cause</t>
        </is>
      </c>
      <c r="M1" s="10" t="inlineStr">
        <is>
          <t>Resolution</t>
        </is>
      </c>
      <c r="N1" s="10" t="inlineStr">
        <is>
          <t>Date Resolved</t>
        </is>
      </c>
      <c r="O1" s="10" t="inlineStr">
        <is>
          <t>Resolution Time (Hours)</t>
        </is>
      </c>
      <c r="P1" s="10" t="inlineStr">
        <is>
          <t>Follow-up Required</t>
        </is>
      </c>
      <c r="Q1" s="10" t="inlineStr">
        <is>
          <t>Notes</t>
        </is>
      </c>
    </row>
    <row r="2">
      <c r="A2" s="6" t="inlineStr">
        <is>
          <t>I001</t>
        </is>
      </c>
      <c r="B2" s="6" t="inlineStr">
        <is>
          <t>2024-02-08</t>
        </is>
      </c>
      <c r="C2" s="6" t="inlineStr">
        <is>
          <t>John Smith</t>
        </is>
      </c>
      <c r="D2" s="6" t="inlineStr">
        <is>
          <t>CrowdStrike Package Installation Failed</t>
        </is>
      </c>
      <c r="E2" s="6" t="inlineStr">
        <is>
          <t>CrowdStrike sensor fails to install during Autopilot</t>
        </is>
      </c>
      <c r="F2" s="6" t="inlineStr">
        <is>
          <t>Security Applications</t>
        </is>
      </c>
      <c r="G2" s="11" t="inlineStr">
        <is>
          <t>Critical</t>
        </is>
      </c>
      <c r="H2" s="6" t="inlineStr">
        <is>
          <t>Critical</t>
        </is>
      </c>
      <c r="I2" s="7" t="inlineStr">
        <is>
          <t>Open</t>
        </is>
      </c>
      <c r="J2" s="6" t="inlineStr">
        <is>
          <t>Security Team</t>
        </is>
      </c>
      <c r="K2" s="6" t="inlineStr">
        <is>
          <t>T010</t>
        </is>
      </c>
      <c r="L2" s="6" t="inlineStr"/>
      <c r="M2" s="6" t="inlineStr"/>
      <c r="N2" s="6" t="inlineStr"/>
      <c r="O2" s="6" t="inlineStr"/>
      <c r="P2" s="6" t="inlineStr">
        <is>
          <t>Yes</t>
        </is>
      </c>
      <c r="Q2" s="6" t="inlineStr">
        <is>
          <t>May need manual CID configuration</t>
        </is>
      </c>
    </row>
    <row r="3">
      <c r="A3" s="6" t="inlineStr">
        <is>
          <t>I002</t>
        </is>
      </c>
      <c r="B3" s="6" t="inlineStr">
        <is>
          <t>2024-02-12</t>
        </is>
      </c>
      <c r="C3" s="6" t="inlineStr">
        <is>
          <t>Jane Doe</t>
        </is>
      </c>
      <c r="D3" s="6" t="inlineStr">
        <is>
          <t>VPN Certificate Deployment Issue</t>
        </is>
      </c>
      <c r="E3" s="6" t="inlineStr">
        <is>
          <t>Machine certificates not deploying to test devices</t>
        </is>
      </c>
      <c r="F3" s="6" t="inlineStr">
        <is>
          <t>Security</t>
        </is>
      </c>
      <c r="G3" s="12" t="inlineStr">
        <is>
          <t>High</t>
        </is>
      </c>
      <c r="H3" s="6" t="inlineStr">
        <is>
          <t>High</t>
        </is>
      </c>
      <c r="I3" s="13" t="inlineStr">
        <is>
          <t>In Progress</t>
        </is>
      </c>
      <c r="J3" s="6" t="inlineStr">
        <is>
          <t>Security Team</t>
        </is>
      </c>
      <c r="K3" s="6" t="inlineStr">
        <is>
          <t>T012</t>
        </is>
      </c>
      <c r="L3" s="6" t="inlineStr">
        <is>
          <t>Certificate template permissions</t>
        </is>
      </c>
      <c r="M3" s="6" t="inlineStr"/>
      <c r="N3" s="6" t="inlineStr"/>
      <c r="O3" s="6" t="inlineStr"/>
      <c r="P3" s="6" t="inlineStr">
        <is>
          <t>No</t>
        </is>
      </c>
      <c r="Q3" s="6" t="inlineStr">
        <is>
          <t>Working with CA team</t>
        </is>
      </c>
    </row>
    <row r="4">
      <c r="A4" s="6" t="inlineStr">
        <is>
          <t>I003</t>
        </is>
      </c>
      <c r="B4" s="6" t="inlineStr">
        <is>
          <t>2024-02-15</t>
        </is>
      </c>
      <c r="C4" s="6" t="inlineStr">
        <is>
          <t>Mike Johnson</t>
        </is>
      </c>
      <c r="D4" s="6" t="inlineStr">
        <is>
          <t>Windows Enterprise Upgrade Failure</t>
        </is>
      </c>
      <c r="E4" s="6" t="inlineStr">
        <is>
          <t>Devices not upgrading from Pro to Enterprise</t>
        </is>
      </c>
      <c r="F4" s="6" t="inlineStr">
        <is>
          <t>System Configuration</t>
        </is>
      </c>
      <c r="G4" s="11" t="inlineStr">
        <is>
          <t>Critical</t>
        </is>
      </c>
      <c r="H4" s="6" t="inlineStr">
        <is>
          <t>Critical</t>
        </is>
      </c>
      <c r="I4" s="7" t="inlineStr">
        <is>
          <t>Open</t>
        </is>
      </c>
      <c r="J4" s="6" t="inlineStr">
        <is>
          <t>Infrastructure Team</t>
        </is>
      </c>
      <c r="K4" s="6" t="inlineStr">
        <is>
          <t>T018</t>
        </is>
      </c>
      <c r="L4" s="6" t="inlineStr"/>
      <c r="M4" s="6" t="inlineStr"/>
      <c r="N4" s="6" t="inlineStr"/>
      <c r="O4" s="6" t="inlineStr"/>
      <c r="P4" s="6" t="inlineStr">
        <is>
          <t>Yes</t>
        </is>
      </c>
      <c r="Q4" s="6" t="inlineStr">
        <is>
          <t>License key may be invalid</t>
        </is>
      </c>
    </row>
    <row r="5">
      <c r="A5" s="6" t="inlineStr">
        <is>
          <t>I004</t>
        </is>
      </c>
      <c r="B5" s="6" t="inlineStr">
        <is>
          <t>2024-02-18</t>
        </is>
      </c>
      <c r="C5" s="6" t="inlineStr">
        <is>
          <t>Sarah Wilson</t>
        </is>
      </c>
      <c r="D5" s="6" t="inlineStr">
        <is>
          <t>Autopilot Profile Assignment</t>
        </is>
      </c>
      <c r="E5" s="6" t="inlineStr">
        <is>
          <t>Devices getting assigned to wrong department profile</t>
        </is>
      </c>
      <c r="F5" s="6" t="inlineStr">
        <is>
          <t>Device Management</t>
        </is>
      </c>
      <c r="G5" s="14" t="inlineStr">
        <is>
          <t>Medium</t>
        </is>
      </c>
      <c r="H5" s="6" t="inlineStr">
        <is>
          <t>High</t>
        </is>
      </c>
      <c r="I5" s="7" t="inlineStr">
        <is>
          <t>Open</t>
        </is>
      </c>
      <c r="J5" s="6" t="inlineStr">
        <is>
          <t>Infrastructure Team</t>
        </is>
      </c>
      <c r="K5" s="6" t="inlineStr">
        <is>
          <t>T024</t>
        </is>
      </c>
      <c r="L5" s="6" t="inlineStr"/>
      <c r="M5" s="6" t="inlineStr"/>
      <c r="N5" s="6" t="inlineStr"/>
      <c r="O5" s="6" t="inlineStr"/>
      <c r="P5" s="6" t="inlineStr">
        <is>
          <t>No</t>
        </is>
      </c>
      <c r="Q5" s="6" t="inlineStr">
        <is>
          <t>Review group targeting rules</t>
        </is>
      </c>
    </row>
    <row r="6">
      <c r="A6" s="6" t="inlineStr">
        <is>
          <t>I005</t>
        </is>
      </c>
      <c r="B6" s="6" t="inlineStr">
        <is>
          <t>2024-02-20</t>
        </is>
      </c>
      <c r="C6" s="6" t="inlineStr">
        <is>
          <t>David Brown</t>
        </is>
      </c>
      <c r="D6" s="6" t="inlineStr">
        <is>
          <t>Duo Installation Timing</t>
        </is>
      </c>
      <c r="E6" s="6" t="inlineStr">
        <is>
          <t>Duo installing before domain join causing issues</t>
        </is>
      </c>
      <c r="F6" s="6" t="inlineStr">
        <is>
          <t>Authentication</t>
        </is>
      </c>
      <c r="G6" s="14" t="inlineStr">
        <is>
          <t>Medium</t>
        </is>
      </c>
      <c r="H6" s="6" t="inlineStr">
        <is>
          <t>Medium</t>
        </is>
      </c>
      <c r="I6" s="7" t="inlineStr">
        <is>
          <t>Open</t>
        </is>
      </c>
      <c r="J6" s="6" t="inlineStr">
        <is>
          <t>Security Team</t>
        </is>
      </c>
      <c r="K6" s="6" t="inlineStr">
        <is>
          <t>T014</t>
        </is>
      </c>
      <c r="L6" s="6" t="inlineStr"/>
      <c r="M6" s="6" t="inlineStr"/>
      <c r="N6" s="6" t="inlineStr"/>
      <c r="O6" s="6" t="inlineStr"/>
      <c r="P6" s="6" t="inlineStr">
        <is>
          <t>No</t>
        </is>
      </c>
      <c r="Q6" s="6" t="inlineStr">
        <is>
          <t>Need to adjust installation sequence</t>
        </is>
      </c>
    </row>
    <row r="7">
      <c r="A7" s="6" t="inlineStr">
        <is>
          <t>I006</t>
        </is>
      </c>
      <c r="B7" s="6" t="inlineStr">
        <is>
          <t>2024-02-22</t>
        </is>
      </c>
      <c r="C7" s="6" t="inlineStr">
        <is>
          <t>Lisa Garcia</t>
        </is>
      </c>
      <c r="D7" s="6" t="inlineStr">
        <is>
          <t>CIS Baseline Policy Conflicts</t>
        </is>
      </c>
      <c r="E7" s="6" t="inlineStr">
        <is>
          <t>Some CIS policies conflicting with app installations</t>
        </is>
      </c>
      <c r="F7" s="6" t="inlineStr">
        <is>
          <t>Security Policies</t>
        </is>
      </c>
      <c r="G7" s="12" t="inlineStr">
        <is>
          <t>High</t>
        </is>
      </c>
      <c r="H7" s="6" t="inlineStr">
        <is>
          <t>High</t>
        </is>
      </c>
      <c r="I7" s="7" t="inlineStr">
        <is>
          <t>Open</t>
        </is>
      </c>
      <c r="J7" s="6" t="inlineStr">
        <is>
          <t>Security Team</t>
        </is>
      </c>
      <c r="K7" s="6" t="inlineStr">
        <is>
          <t>T019</t>
        </is>
      </c>
      <c r="L7" s="6" t="inlineStr"/>
      <c r="M7" s="6" t="inlineStr"/>
      <c r="N7" s="6" t="inlineStr"/>
      <c r="O7" s="6" t="inlineStr"/>
      <c r="P7" s="6" t="inlineStr">
        <is>
          <t>Yes</t>
        </is>
      </c>
      <c r="Q7" s="6" t="inlineStr">
        <is>
          <t>May need policy exceptions</t>
        </is>
      </c>
    </row>
    <row r="8">
      <c r="A8" s="6" t="inlineStr">
        <is>
          <t>I007</t>
        </is>
      </c>
      <c r="B8" s="6" t="inlineStr">
        <is>
          <t>2024-02-24</t>
        </is>
      </c>
      <c r="C8" s="6" t="inlineStr">
        <is>
          <t>Tom Anderson</t>
        </is>
      </c>
      <c r="D8" s="6" t="inlineStr">
        <is>
          <t>Device Naming Character Limit</t>
        </is>
      </c>
      <c r="E8" s="6" t="inlineStr">
        <is>
          <t>Some department codes exceed 15-character limit</t>
        </is>
      </c>
      <c r="F8" s="6" t="inlineStr">
        <is>
          <t>Device Naming</t>
        </is>
      </c>
      <c r="G8" s="14" t="inlineStr">
        <is>
          <t>Medium</t>
        </is>
      </c>
      <c r="H8" s="6" t="inlineStr">
        <is>
          <t>Medium</t>
        </is>
      </c>
      <c r="I8" s="7" t="inlineStr">
        <is>
          <t>Open</t>
        </is>
      </c>
      <c r="J8" s="6" t="inlineStr">
        <is>
          <t>Infrastructure Team</t>
        </is>
      </c>
      <c r="K8" s="6" t="inlineStr">
        <is>
          <t>T023</t>
        </is>
      </c>
      <c r="L8" s="6" t="inlineStr"/>
      <c r="M8" s="6" t="inlineStr"/>
      <c r="N8" s="6" t="inlineStr"/>
      <c r="O8" s="6" t="inlineStr"/>
      <c r="P8" s="6" t="inlineStr">
        <is>
          <t>No</t>
        </is>
      </c>
      <c r="Q8" s="6" t="inlineStr">
        <is>
          <t>Need shorter department codes</t>
        </is>
      </c>
    </row>
    <row r="9">
      <c r="A9" s="6" t="inlineStr">
        <is>
          <t>I008</t>
        </is>
      </c>
      <c r="B9" s="6" t="inlineStr">
        <is>
          <t>2024-02-25</t>
        </is>
      </c>
      <c r="C9" s="6" t="inlineStr">
        <is>
          <t>Amy Chen</t>
        </is>
      </c>
      <c r="D9" s="6" t="inlineStr">
        <is>
          <t>Absolute Agent Silent Install</t>
        </is>
      </c>
      <c r="E9" s="6" t="inlineStr">
        <is>
          <t>Absolute Agent not installing silently</t>
        </is>
      </c>
      <c r="F9" s="6" t="inlineStr">
        <is>
          <t>Security Applications</t>
        </is>
      </c>
      <c r="G9" s="14" t="inlineStr">
        <is>
          <t>Medium</t>
        </is>
      </c>
      <c r="H9" s="6" t="inlineStr">
        <is>
          <t>Low</t>
        </is>
      </c>
      <c r="I9" s="7" t="inlineStr">
        <is>
          <t>Open</t>
        </is>
      </c>
      <c r="J9" s="6" t="inlineStr">
        <is>
          <t>Security Team</t>
        </is>
      </c>
      <c r="K9" s="6" t="inlineStr">
        <is>
          <t>T013</t>
        </is>
      </c>
      <c r="L9" s="6" t="inlineStr"/>
      <c r="M9" s="6" t="inlineStr"/>
      <c r="N9" s="6" t="inlineStr"/>
      <c r="O9" s="6" t="inlineStr"/>
      <c r="P9" s="6" t="inlineStr">
        <is>
          <t>No</t>
        </is>
      </c>
      <c r="Q9" s="6" t="inlineStr">
        <is>
          <t>Check installation parameters</t>
        </is>
      </c>
    </row>
    <row r="10">
      <c r="A10" s="6" t="inlineStr">
        <is>
          <t>I009</t>
        </is>
      </c>
      <c r="B10" s="6" t="inlineStr">
        <is>
          <t>2024-02-14</t>
        </is>
      </c>
      <c r="C10" s="6" t="inlineStr">
        <is>
          <t>Mark Rodriguez</t>
        </is>
      </c>
      <c r="D10" s="6" t="inlineStr">
        <is>
          <t>User-Driven Deployment Timing</t>
        </is>
      </c>
      <c r="E10" s="6" t="inlineStr">
        <is>
          <t>User-driven deployment exceeding 90 minutes</t>
        </is>
      </c>
      <c r="F10" s="6" t="inlineStr">
        <is>
          <t>Feasibility Testing</t>
        </is>
      </c>
      <c r="G10" s="12" t="inlineStr">
        <is>
          <t>High</t>
        </is>
      </c>
      <c r="H10" s="6" t="inlineStr">
        <is>
          <t>High</t>
        </is>
      </c>
      <c r="I10" s="7" t="inlineStr">
        <is>
          <t>Open</t>
        </is>
      </c>
      <c r="J10" s="6" t="inlineStr">
        <is>
          <t>QA Team</t>
        </is>
      </c>
      <c r="K10" s="6" t="inlineStr">
        <is>
          <t>T006</t>
        </is>
      </c>
      <c r="L10" s="6" t="inlineStr"/>
      <c r="M10" s="6" t="inlineStr"/>
      <c r="N10" s="6" t="inlineStr"/>
      <c r="O10" s="6" t="inlineStr"/>
      <c r="P10" s="6" t="inlineStr">
        <is>
          <t>Yes</t>
        </is>
      </c>
      <c r="Q10" s="6" t="inlineStr">
        <is>
          <t>May need Pre-Provisioning for some users</t>
        </is>
      </c>
    </row>
    <row r="11">
      <c r="A11" s="6" t="inlineStr">
        <is>
          <t>I010</t>
        </is>
      </c>
      <c r="B11" s="6" t="inlineStr">
        <is>
          <t>2024-02-16</t>
        </is>
      </c>
      <c r="C11" s="6" t="inlineStr">
        <is>
          <t>Jennifer Kim</t>
        </is>
      </c>
      <c r="D11" s="6" t="inlineStr">
        <is>
          <t>Network Bandwidth Limitations</t>
        </is>
      </c>
      <c r="E11" s="6" t="inlineStr">
        <is>
          <t>Slow application downloads affecting deployment time</t>
        </is>
      </c>
      <c r="F11" s="6" t="inlineStr">
        <is>
          <t>Network Performance</t>
        </is>
      </c>
      <c r="G11" s="14" t="inlineStr">
        <is>
          <t>Medium</t>
        </is>
      </c>
      <c r="H11" s="6" t="inlineStr">
        <is>
          <t>Medium</t>
        </is>
      </c>
      <c r="I11" s="7" t="inlineStr">
        <is>
          <t>Open</t>
        </is>
      </c>
      <c r="J11" s="6" t="inlineStr">
        <is>
          <t>Network Team</t>
        </is>
      </c>
      <c r="K11" s="6" t="inlineStr">
        <is>
          <t>T007</t>
        </is>
      </c>
      <c r="L11" s="6" t="inlineStr"/>
      <c r="M11" s="6" t="inlineStr"/>
      <c r="N11" s="6" t="inlineStr"/>
      <c r="O11" s="6" t="inlineStr"/>
      <c r="P11" s="6" t="inlineStr">
        <is>
          <t>No</t>
        </is>
      </c>
      <c r="Q11" s="6" t="inlineStr">
        <is>
          <t>Consider app size optimization</t>
        </is>
      </c>
    </row>
    <row r="12">
      <c r="A12" s="6" t="inlineStr">
        <is>
          <t>I011</t>
        </is>
      </c>
      <c r="B12" s="6" t="inlineStr">
        <is>
          <t>2024-02-17</t>
        </is>
      </c>
      <c r="C12" s="6" t="inlineStr">
        <is>
          <t>Robert Chen</t>
        </is>
      </c>
      <c r="D12" s="6" t="inlineStr">
        <is>
          <t>User Experience Complexity</t>
        </is>
      </c>
      <c r="E12" s="6" t="inlineStr">
        <is>
          <t>Non-technical users struggling with setup process</t>
        </is>
      </c>
      <c r="F12" s="6" t="inlineStr">
        <is>
          <t>User Experience</t>
        </is>
      </c>
      <c r="G12" s="14" t="inlineStr">
        <is>
          <t>Medium</t>
        </is>
      </c>
      <c r="H12" s="6" t="inlineStr">
        <is>
          <t>High</t>
        </is>
      </c>
      <c r="I12" s="7" t="inlineStr">
        <is>
          <t>Open</t>
        </is>
      </c>
      <c r="J12" s="6" t="inlineStr">
        <is>
          <t>QA Team</t>
        </is>
      </c>
      <c r="K12" s="6" t="inlineStr">
        <is>
          <t>T008</t>
        </is>
      </c>
      <c r="L12" s="6" t="inlineStr"/>
      <c r="M12" s="6" t="inlineStr"/>
      <c r="N12" s="6" t="inlineStr"/>
      <c r="O12" s="6" t="inlineStr"/>
      <c r="P12" s="6" t="inlineStr">
        <is>
          <t>Yes</t>
        </is>
      </c>
      <c r="Q12" s="6" t="inlineStr">
        <is>
          <t>May require Pre-Provisioning or training</t>
        </is>
      </c>
    </row>
    <row r="13">
      <c r="A13" s="6" t="inlineStr">
        <is>
          <t>I012</t>
        </is>
      </c>
      <c r="B13" s="6" t="inlineStr">
        <is>
          <t>2024-02-19</t>
        </is>
      </c>
      <c r="C13" s="6" t="inlineStr">
        <is>
          <t>Michelle Davis</t>
        </is>
      </c>
      <c r="D13" s="6" t="inlineStr">
        <is>
          <t>Deployment Mode Decision Criteria</t>
        </is>
      </c>
      <c r="E13" s="6" t="inlineStr">
        <is>
          <t>Unclear criteria for selecting deployment mode</t>
        </is>
      </c>
      <c r="F13" s="6" t="inlineStr">
        <is>
          <t>Process</t>
        </is>
      </c>
      <c r="G13" s="12" t="inlineStr">
        <is>
          <t>High</t>
        </is>
      </c>
      <c r="H13" s="6" t="inlineStr">
        <is>
          <t>High</t>
        </is>
      </c>
      <c r="I13" s="7" t="inlineStr">
        <is>
          <t>Open</t>
        </is>
      </c>
      <c r="J13" s="6" t="inlineStr">
        <is>
          <t>Project Manager</t>
        </is>
      </c>
      <c r="K13" s="6" t="inlineStr">
        <is>
          <t>T009</t>
        </is>
      </c>
      <c r="L13" s="6" t="inlineStr"/>
      <c r="M13" s="6" t="inlineStr"/>
      <c r="N13" s="6" t="inlineStr"/>
      <c r="O13" s="6" t="inlineStr"/>
      <c r="P13" s="6" t="inlineStr">
        <is>
          <t>Yes</t>
        </is>
      </c>
      <c r="Q13" s="6" t="inlineStr">
        <is>
          <t>Need clear decision matrix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2026-02-13T18:20:15Z</dcterms:created>
  <dcterms:modified xmlns:dcterms="http://purl.org/dc/terms/" xmlns:xsi="http://www.w3.org/2001/XMLSchema-instance" xsi:type="dcterms:W3CDTF">2026-02-13T18:20:15Z</dcterms:modified>
</cp:coreProperties>
</file>